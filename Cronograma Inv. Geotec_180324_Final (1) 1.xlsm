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ProjectFiles\201-00792\16P\PROPOSAL\Propuesta ITS 13 Actualizada\Sustento\"/>
    </mc:Choice>
  </mc:AlternateContent>
  <xr:revisionPtr revIDLastSave="1" documentId="13_ncr:1_{7F809B99-ACEE-4068-A037-9AF3619BA9B7}" xr6:coauthVersionLast="47" xr6:coauthVersionMax="47" xr10:uidLastSave="{8A8CC438-9EB8-43C0-BBE9-A84D80A8DA72}"/>
  <bookViews>
    <workbookView xWindow="20370" yWindow="-1095" windowWidth="24240" windowHeight="13140" tabRatio="904" firstSheet="13" activeTab="15" xr2:uid="{00000000-000D-0000-FFFF-FFFF00000000}"/>
  </bookViews>
  <sheets>
    <sheet name="Prueba" sheetId="12" state="hidden" r:id="rId1"/>
    <sheet name="Referencias" sheetId="335" state="hidden" r:id="rId2"/>
    <sheet name="Reembolsables" sheetId="420" state="hidden" r:id="rId3"/>
    <sheet name="Datos de entrada MOD" sheetId="14" r:id="rId4"/>
    <sheet name="Table Headings" sheetId="16" state="hidden" r:id="rId5"/>
    <sheet name="Formato Cronograma" sheetId="150" state="hidden" r:id="rId6"/>
    <sheet name="Rates" sheetId="330" r:id="rId7"/>
    <sheet name="Inicio MOD" sheetId="13" r:id="rId8"/>
    <sheet name="Total por Persona" sheetId="510" state="hidden" r:id="rId9"/>
    <sheet name="Tabla de costos - HH" sheetId="513" state="hidden" r:id="rId10"/>
    <sheet name="Tabla de costos - Disbursements" sheetId="419" state="hidden" r:id="rId11"/>
    <sheet name="Tabla de costos" sheetId="526" state="hidden" r:id="rId12"/>
    <sheet name="Cronograma - Mapeo" sheetId="562" state="hidden" r:id="rId13"/>
    <sheet name="Días - Perforaciones" sheetId="564" r:id="rId14"/>
    <sheet name="Cronograma - Perforaciones" sheetId="567" r:id="rId15"/>
    <sheet name="Días - Calicatas" sheetId="565" r:id="rId16"/>
    <sheet name="Cronograma - Calicatas" sheetId="568" r:id="rId17"/>
    <sheet name="Días - Trincheras" sheetId="566" r:id="rId18"/>
    <sheet name="Cronograma - Trincheras" sheetId="569" r:id="rId19"/>
  </sheets>
  <externalReferences>
    <externalReference r:id="rId20"/>
  </externalReferences>
  <definedNames>
    <definedName name="_xlnm.Print_Area" localSheetId="6">Rates!$A$1:$J$34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565" l="1"/>
  <c r="D18" i="569"/>
  <c r="D19" i="569" s="1"/>
  <c r="E2" i="569"/>
  <c r="G1" i="569"/>
  <c r="H1" i="569" s="1"/>
  <c r="I1" i="569" s="1"/>
  <c r="J1" i="569" s="1"/>
  <c r="K1" i="569" s="1"/>
  <c r="L1" i="569" s="1"/>
  <c r="M1" i="569" s="1"/>
  <c r="N1" i="569" s="1"/>
  <c r="O1" i="569" s="1"/>
  <c r="P1" i="569" s="1"/>
  <c r="Q1" i="569" s="1"/>
  <c r="R1" i="569" s="1"/>
  <c r="S1" i="569" s="1"/>
  <c r="D18" i="568"/>
  <c r="D19" i="568" s="1"/>
  <c r="E2" i="568"/>
  <c r="G1" i="568"/>
  <c r="H1" i="568" s="1"/>
  <c r="I1" i="568" s="1"/>
  <c r="J1" i="568" s="1"/>
  <c r="K1" i="568" s="1"/>
  <c r="L1" i="568" s="1"/>
  <c r="M1" i="568" s="1"/>
  <c r="N1" i="568" s="1"/>
  <c r="O1" i="568" s="1"/>
  <c r="P1" i="568" s="1"/>
  <c r="Q1" i="568" s="1"/>
  <c r="R1" i="568" s="1"/>
  <c r="S1" i="568" s="1"/>
  <c r="T1" i="568" s="1"/>
  <c r="D39" i="567"/>
  <c r="D40" i="567" s="1"/>
  <c r="D25" i="567"/>
  <c r="D26" i="567" s="1"/>
  <c r="E2" i="567"/>
  <c r="G1" i="567"/>
  <c r="H1" i="567" s="1"/>
  <c r="I1" i="567" s="1"/>
  <c r="J1" i="567" s="1"/>
  <c r="K1" i="567" s="1"/>
  <c r="L1" i="567" s="1"/>
  <c r="M1" i="567" s="1"/>
  <c r="N1" i="567" s="1"/>
  <c r="O1" i="567" s="1"/>
  <c r="P1" i="567" s="1"/>
  <c r="Q1" i="567" s="1"/>
  <c r="R1" i="567" s="1"/>
  <c r="S1" i="567" s="1"/>
  <c r="T1" i="567" s="1"/>
  <c r="U1" i="567" s="1"/>
  <c r="V1" i="567" s="1"/>
  <c r="W1" i="567" s="1"/>
  <c r="X1" i="567" s="1"/>
  <c r="Y1" i="567" s="1"/>
  <c r="Z1" i="567" s="1"/>
  <c r="AA1" i="567" s="1"/>
  <c r="AB1" i="567" s="1"/>
  <c r="AC1" i="567" s="1"/>
  <c r="AD1" i="567" s="1"/>
  <c r="AE1" i="567" s="1"/>
  <c r="AF1" i="567" s="1"/>
  <c r="AG1" i="567" s="1"/>
  <c r="AH1" i="567" s="1"/>
  <c r="AI1" i="567" s="1"/>
  <c r="AJ1" i="567" s="1"/>
  <c r="AK1" i="567" s="1"/>
  <c r="AL1" i="567" s="1"/>
  <c r="D17" i="566" l="1"/>
  <c r="D8" i="566"/>
  <c r="C8" i="566"/>
  <c r="D17" i="565"/>
  <c r="D8" i="565"/>
  <c r="D29" i="564"/>
  <c r="D31" i="564" s="1"/>
  <c r="D22" i="564"/>
  <c r="D24" i="564" s="1"/>
  <c r="L10" i="564"/>
  <c r="L11" i="564"/>
  <c r="L12" i="564"/>
  <c r="L13" i="564"/>
  <c r="L9" i="564"/>
  <c r="G9" i="564"/>
  <c r="G10" i="564" s="1"/>
  <c r="G11" i="564" s="1"/>
  <c r="G12" i="564" s="1"/>
  <c r="G13" i="564" s="1"/>
  <c r="F9" i="564"/>
  <c r="F10" i="564" s="1"/>
  <c r="F11" i="564" s="1"/>
  <c r="F12" i="564" s="1"/>
  <c r="F13" i="564" s="1"/>
  <c r="B9" i="564"/>
  <c r="C9" i="564" s="1"/>
  <c r="L8" i="564"/>
  <c r="C8" i="564"/>
  <c r="J4" i="564"/>
  <c r="Q7" i="564" s="1"/>
  <c r="F4" i="564"/>
  <c r="B10" i="564" l="1"/>
  <c r="D19" i="562"/>
  <c r="E2" i="562"/>
  <c r="G1" i="562"/>
  <c r="H1" i="562" s="1"/>
  <c r="I1" i="562" s="1"/>
  <c r="J1" i="562" s="1"/>
  <c r="K1" i="562" s="1"/>
  <c r="L1" i="562" s="1"/>
  <c r="M1" i="562" s="1"/>
  <c r="N1" i="562" s="1"/>
  <c r="O1" i="562" s="1"/>
  <c r="P1" i="562" s="1"/>
  <c r="Q1" i="562" s="1"/>
  <c r="R1" i="562" s="1"/>
  <c r="S1" i="562" s="1"/>
  <c r="T1" i="562" s="1"/>
  <c r="B11" i="564" l="1"/>
  <c r="C10" i="564"/>
  <c r="D35" i="16"/>
  <c r="C11" i="564" l="1"/>
  <c r="SN9" i="150"/>
  <c r="SM9" i="150"/>
  <c r="SL9" i="150"/>
  <c r="SK9" i="150"/>
  <c r="SJ9" i="150"/>
  <c r="SI9" i="150"/>
  <c r="SH9" i="150"/>
  <c r="SG9" i="150"/>
  <c r="SF9" i="150"/>
  <c r="SE9" i="150"/>
  <c r="SD9" i="150"/>
  <c r="SC9" i="150"/>
  <c r="SB9" i="150"/>
  <c r="SA9" i="150"/>
  <c r="RZ9" i="150"/>
  <c r="RY9" i="150"/>
  <c r="RX9" i="150"/>
  <c r="RW9" i="150"/>
  <c r="RV9" i="150"/>
  <c r="RU9" i="150"/>
  <c r="RT9" i="150"/>
  <c r="RS9" i="150"/>
  <c r="RR9" i="150"/>
  <c r="RQ9" i="150"/>
  <c r="RP9" i="150"/>
  <c r="RO9" i="150"/>
  <c r="RN9" i="150"/>
  <c r="RM9" i="150"/>
  <c r="RL9" i="150"/>
  <c r="RK9" i="150"/>
  <c r="RJ9" i="150"/>
  <c r="RI9" i="150"/>
  <c r="RH9" i="150"/>
  <c r="RG9" i="150"/>
  <c r="RF9" i="150"/>
  <c r="RE9" i="150"/>
  <c r="RD9" i="150"/>
  <c r="RC9" i="150"/>
  <c r="RB9" i="150"/>
  <c r="RA9" i="150"/>
  <c r="QZ9" i="150"/>
  <c r="QY9" i="150"/>
  <c r="QX9" i="150"/>
  <c r="QW9" i="150"/>
  <c r="QV9" i="150"/>
  <c r="QU9" i="150"/>
  <c r="QT9" i="150"/>
  <c r="QS9" i="150"/>
  <c r="QR9" i="150"/>
  <c r="QQ9" i="150"/>
  <c r="QP9" i="150"/>
  <c r="QO9" i="150"/>
  <c r="QN9" i="150"/>
  <c r="QM9" i="150"/>
  <c r="QL9" i="150"/>
  <c r="QK9" i="150"/>
  <c r="QJ9" i="150"/>
  <c r="QI9" i="150"/>
  <c r="QH9" i="150"/>
  <c r="QG9" i="150"/>
  <c r="QF9" i="150"/>
  <c r="QE9" i="150"/>
  <c r="QD9" i="150"/>
  <c r="QC9" i="150"/>
  <c r="QB9" i="150"/>
  <c r="QA9" i="150"/>
  <c r="PZ9" i="150"/>
  <c r="PY9" i="150"/>
  <c r="PX9" i="150"/>
  <c r="PW9" i="150"/>
  <c r="PV9" i="150"/>
  <c r="PU9" i="150"/>
  <c r="PT9" i="150"/>
  <c r="PS9" i="150"/>
  <c r="PR9" i="150"/>
  <c r="PQ9" i="150"/>
  <c r="PP9" i="150"/>
  <c r="PO9" i="150"/>
  <c r="PN9" i="150"/>
  <c r="PM9" i="150"/>
  <c r="PL9" i="150"/>
  <c r="PK9" i="150"/>
  <c r="PJ9" i="150"/>
  <c r="PI9" i="150"/>
  <c r="PH9" i="150"/>
  <c r="PG9" i="150"/>
  <c r="PF9" i="150"/>
  <c r="PE9" i="150"/>
  <c r="PD9" i="150"/>
  <c r="PC9" i="150"/>
  <c r="PB9" i="150"/>
  <c r="PA9" i="150"/>
  <c r="OZ9" i="150"/>
  <c r="OY9" i="150"/>
  <c r="OX9" i="150"/>
  <c r="OW9" i="150"/>
  <c r="OV9" i="150"/>
  <c r="OU9" i="150"/>
  <c r="OT9" i="150"/>
  <c r="OS9" i="150"/>
  <c r="OR9" i="150"/>
  <c r="OQ9" i="150"/>
  <c r="OP9" i="150"/>
  <c r="OO9" i="150"/>
  <c r="ON9" i="150"/>
  <c r="OM9" i="150"/>
  <c r="OL9" i="150"/>
  <c r="OK9" i="150"/>
  <c r="OJ9" i="150"/>
  <c r="OI9" i="150"/>
  <c r="OH9" i="150"/>
  <c r="OG9" i="150"/>
  <c r="OF9" i="150"/>
  <c r="OE9" i="150"/>
  <c r="OD9" i="150"/>
  <c r="OC9" i="150"/>
  <c r="OB9" i="150"/>
  <c r="OA9" i="150"/>
  <c r="NZ9" i="150"/>
  <c r="NY9" i="150"/>
  <c r="NX9" i="150"/>
  <c r="NW9" i="150"/>
  <c r="NV9" i="150"/>
  <c r="NU9" i="150"/>
  <c r="NT9" i="150"/>
  <c r="NS9" i="150"/>
  <c r="NR9" i="150"/>
  <c r="NQ9" i="150"/>
  <c r="NP9" i="150"/>
  <c r="NO9" i="150"/>
  <c r="NN9" i="150"/>
  <c r="NM9" i="150"/>
  <c r="NL9" i="150"/>
  <c r="NK9" i="150"/>
  <c r="NJ9" i="150"/>
  <c r="NI9" i="150"/>
  <c r="NH9" i="150"/>
  <c r="NG9" i="150"/>
  <c r="NF9" i="150"/>
  <c r="NE9" i="150"/>
  <c r="ND9" i="150"/>
  <c r="NC9" i="150"/>
  <c r="NB9" i="150"/>
  <c r="NA9" i="150"/>
  <c r="MZ9" i="150"/>
  <c r="MY9" i="150"/>
  <c r="MX9" i="150"/>
  <c r="MW9" i="150"/>
  <c r="MV9" i="150"/>
  <c r="MU9" i="150"/>
  <c r="MT9" i="150"/>
  <c r="MS9" i="150"/>
  <c r="MR9" i="150"/>
  <c r="MQ9" i="150"/>
  <c r="MP9" i="150"/>
  <c r="MO9" i="150"/>
  <c r="MN9" i="150"/>
  <c r="MM9" i="150"/>
  <c r="ML9" i="150"/>
  <c r="MK9" i="150"/>
  <c r="MJ9" i="150"/>
  <c r="MI9" i="150"/>
  <c r="MH9" i="150"/>
  <c r="MG9" i="150"/>
  <c r="MF9" i="150"/>
  <c r="ME9" i="150"/>
  <c r="MD9" i="150"/>
  <c r="MC9" i="150"/>
  <c r="MB9" i="150"/>
  <c r="MA9" i="150"/>
  <c r="LZ9" i="150"/>
  <c r="LY9" i="150"/>
  <c r="LX9" i="150"/>
  <c r="LW9" i="150"/>
  <c r="LV9" i="150"/>
  <c r="LU9" i="150"/>
  <c r="LT9" i="150"/>
  <c r="LS9" i="150"/>
  <c r="LR9" i="150"/>
  <c r="LQ9" i="150"/>
  <c r="LP9" i="150"/>
  <c r="LO9" i="150"/>
  <c r="LN9" i="150"/>
  <c r="LM9" i="150"/>
  <c r="LL9" i="150"/>
  <c r="LK9" i="150"/>
  <c r="LJ9" i="150"/>
  <c r="LI9" i="150"/>
  <c r="LH9" i="150"/>
  <c r="LG9" i="150"/>
  <c r="LF9" i="150"/>
  <c r="LE9" i="150"/>
  <c r="LD9" i="150"/>
  <c r="LC9" i="150"/>
  <c r="LB9" i="150"/>
  <c r="LA9" i="150"/>
  <c r="KZ9" i="150"/>
  <c r="KY9" i="150"/>
  <c r="KX9" i="150"/>
  <c r="KW9" i="150"/>
  <c r="KV9" i="150"/>
  <c r="KU9" i="150"/>
  <c r="KT9" i="150"/>
  <c r="KS9" i="150"/>
  <c r="KR9" i="150"/>
  <c r="KQ9" i="150"/>
  <c r="KP9" i="150"/>
  <c r="KO9" i="150"/>
  <c r="KN9" i="150"/>
  <c r="KM9" i="150"/>
  <c r="KL9" i="150"/>
  <c r="KK9" i="150"/>
  <c r="KJ9" i="150"/>
  <c r="KI9" i="150"/>
  <c r="KH9" i="150"/>
  <c r="KG9" i="150"/>
  <c r="KF9" i="150"/>
  <c r="KE9" i="150"/>
  <c r="KD9" i="150"/>
  <c r="KC9" i="150"/>
  <c r="KB9" i="150"/>
  <c r="KA9" i="150"/>
  <c r="JZ9" i="150"/>
  <c r="JY9" i="150"/>
  <c r="JX9" i="150"/>
  <c r="JW9" i="150"/>
  <c r="JV9" i="150"/>
  <c r="JU9" i="150"/>
  <c r="JT9" i="150"/>
  <c r="JS9" i="150"/>
  <c r="JR9" i="150"/>
  <c r="JQ9" i="150"/>
  <c r="JP9" i="150"/>
  <c r="JO9" i="150"/>
  <c r="JN9" i="150"/>
  <c r="JM9" i="150"/>
  <c r="JL9" i="150"/>
  <c r="JK9" i="150"/>
  <c r="JJ9" i="150"/>
  <c r="JI9" i="150"/>
  <c r="JH9" i="150"/>
  <c r="JG9" i="150"/>
  <c r="JF9" i="150"/>
  <c r="JE9" i="150"/>
  <c r="JD9" i="150"/>
  <c r="JC9" i="150"/>
  <c r="JB9" i="150"/>
  <c r="JA9" i="150"/>
  <c r="IZ9" i="150"/>
  <c r="IY9" i="150"/>
  <c r="IX9" i="150"/>
  <c r="IW9" i="150"/>
  <c r="IV9" i="150"/>
  <c r="IU9" i="150"/>
  <c r="IT9" i="150"/>
  <c r="IS9" i="150"/>
  <c r="IR9" i="150"/>
  <c r="IQ9" i="150"/>
  <c r="IP9" i="150"/>
  <c r="IO9" i="150"/>
  <c r="IN9" i="150"/>
  <c r="IM9" i="150"/>
  <c r="IL9" i="150"/>
  <c r="IK9" i="150"/>
  <c r="IJ9" i="150"/>
  <c r="II9" i="150"/>
  <c r="IH9" i="150"/>
  <c r="IG9" i="150"/>
  <c r="IF9" i="150"/>
  <c r="IE9" i="150"/>
  <c r="ID9" i="150"/>
  <c r="IC9" i="150"/>
  <c r="IB9" i="150"/>
  <c r="IA9" i="150"/>
  <c r="HZ9" i="150"/>
  <c r="HY9" i="150"/>
  <c r="HX9" i="150"/>
  <c r="HW9" i="150"/>
  <c r="HV9" i="150"/>
  <c r="HU9" i="150"/>
  <c r="HT9" i="150"/>
  <c r="HS9" i="150"/>
  <c r="HR9" i="150"/>
  <c r="HQ9" i="150"/>
  <c r="HP9" i="150"/>
  <c r="HO9" i="150"/>
  <c r="HN9" i="150"/>
  <c r="HM9" i="150"/>
  <c r="HL9" i="150"/>
  <c r="HK9" i="150"/>
  <c r="HJ9" i="150"/>
  <c r="HI9" i="150"/>
  <c r="HH9" i="150"/>
  <c r="HG9" i="150"/>
  <c r="HF9" i="150"/>
  <c r="HE9" i="150"/>
  <c r="HD9" i="150"/>
  <c r="HC9" i="150"/>
  <c r="HB9" i="150"/>
  <c r="HA9" i="150"/>
  <c r="GZ9" i="150"/>
  <c r="GY9" i="150"/>
  <c r="GX9" i="150"/>
  <c r="GW9" i="150"/>
  <c r="GV9" i="150"/>
  <c r="GU9" i="150"/>
  <c r="GT9" i="150"/>
  <c r="GS9" i="150"/>
  <c r="GR9" i="150"/>
  <c r="GQ9" i="150"/>
  <c r="GP9" i="150"/>
  <c r="GO9" i="150"/>
  <c r="GN9" i="150"/>
  <c r="GM9" i="150"/>
  <c r="GL9" i="150"/>
  <c r="GK9" i="150"/>
  <c r="GJ9" i="150"/>
  <c r="GI9" i="150"/>
  <c r="GH9" i="150"/>
  <c r="GG9" i="150"/>
  <c r="GF9" i="150"/>
  <c r="GE9" i="150"/>
  <c r="GD9" i="150"/>
  <c r="GC9" i="150"/>
  <c r="GB9" i="150"/>
  <c r="GA9" i="150"/>
  <c r="FZ9" i="150"/>
  <c r="FY9" i="150"/>
  <c r="FX9" i="150"/>
  <c r="FW9" i="150"/>
  <c r="FV9" i="150"/>
  <c r="FU9" i="150"/>
  <c r="FT9" i="150"/>
  <c r="FS9" i="150"/>
  <c r="FR9" i="150"/>
  <c r="FQ9" i="150"/>
  <c r="FP9" i="150"/>
  <c r="FO9" i="150"/>
  <c r="FN9" i="150"/>
  <c r="FM9" i="150"/>
  <c r="FL9" i="150"/>
  <c r="FK9" i="150"/>
  <c r="FJ9" i="150"/>
  <c r="FI9" i="150"/>
  <c r="FH9" i="150"/>
  <c r="FG9" i="150"/>
  <c r="FF9" i="150"/>
  <c r="FE9" i="150"/>
  <c r="FD9" i="150"/>
  <c r="FC9" i="150"/>
  <c r="FB9" i="150"/>
  <c r="FA9" i="150"/>
  <c r="EZ9" i="150"/>
  <c r="EY9" i="150"/>
  <c r="EX9" i="150"/>
  <c r="EW9" i="150"/>
  <c r="EV9" i="150"/>
  <c r="EU9" i="150"/>
  <c r="ET9" i="150"/>
  <c r="ES9" i="150"/>
  <c r="ER9" i="150"/>
  <c r="EQ9" i="150"/>
  <c r="EP9" i="150"/>
  <c r="EO9" i="150"/>
  <c r="EN9" i="150"/>
  <c r="EM9" i="150"/>
  <c r="EL9" i="150"/>
  <c r="EK9" i="150"/>
  <c r="EJ9" i="150"/>
  <c r="EI9" i="150"/>
  <c r="EH9" i="150"/>
  <c r="EG9" i="150"/>
  <c r="EF9" i="150"/>
  <c r="EE9" i="150"/>
  <c r="ED9" i="150"/>
  <c r="EC9" i="150"/>
  <c r="EB9" i="150"/>
  <c r="EA9" i="150"/>
  <c r="DZ9" i="150"/>
  <c r="DY9" i="150"/>
  <c r="DX9" i="150"/>
  <c r="DW9" i="150"/>
  <c r="DV9" i="150"/>
  <c r="DU9" i="150"/>
  <c r="DT9" i="150"/>
  <c r="DS9" i="150"/>
  <c r="DR9" i="150"/>
  <c r="DQ9" i="150"/>
  <c r="DP9" i="150"/>
  <c r="DO9" i="150"/>
  <c r="DN9" i="150"/>
  <c r="DM9" i="150"/>
  <c r="DL9" i="150"/>
  <c r="DK9" i="150"/>
  <c r="DJ9" i="150"/>
  <c r="DI9" i="150"/>
  <c r="DH9" i="150"/>
  <c r="DG9" i="150"/>
  <c r="DF9" i="150"/>
  <c r="DE9" i="150"/>
  <c r="DD9" i="150"/>
  <c r="DC9" i="150"/>
  <c r="DB9" i="150"/>
  <c r="DA9" i="150"/>
  <c r="CZ9" i="150"/>
  <c r="CY9" i="150"/>
  <c r="CX9" i="150"/>
  <c r="CW9" i="150"/>
  <c r="CV9" i="150"/>
  <c r="CU9" i="150"/>
  <c r="CT9" i="150"/>
  <c r="CS9" i="150"/>
  <c r="CR9" i="150"/>
  <c r="CQ9" i="150"/>
  <c r="CP9" i="150"/>
  <c r="CO9" i="150"/>
  <c r="CN9" i="150"/>
  <c r="CM9" i="150"/>
  <c r="CL9" i="150"/>
  <c r="CK9" i="150"/>
  <c r="CJ9" i="150"/>
  <c r="CI9" i="150"/>
  <c r="CH9" i="150"/>
  <c r="CG9" i="150"/>
  <c r="CF9" i="150"/>
  <c r="CE9" i="150"/>
  <c r="CD9" i="150"/>
  <c r="CC9" i="150"/>
  <c r="CB9" i="150"/>
  <c r="CA9" i="150"/>
  <c r="BZ9" i="150"/>
  <c r="BY9" i="150"/>
  <c r="BX9" i="150"/>
  <c r="BW9" i="150"/>
  <c r="BV9" i="150"/>
  <c r="BU9" i="150"/>
  <c r="BT9" i="150"/>
  <c r="BS9" i="150"/>
  <c r="BR9" i="150"/>
  <c r="BQ9" i="150"/>
  <c r="BP9" i="150"/>
  <c r="BO9" i="150"/>
  <c r="BN9" i="150"/>
  <c r="BM9" i="150"/>
  <c r="BL9" i="150"/>
  <c r="BK9" i="150"/>
  <c r="BJ9" i="150"/>
  <c r="BI9" i="150"/>
  <c r="BH9" i="150"/>
  <c r="BG9" i="150"/>
  <c r="BF9" i="150"/>
  <c r="BE9" i="150"/>
  <c r="BD9" i="150"/>
  <c r="BC9" i="150"/>
  <c r="BB9" i="150"/>
  <c r="BA9" i="150"/>
  <c r="AZ9" i="150"/>
  <c r="AY9" i="150"/>
  <c r="AX9" i="150"/>
  <c r="AW9" i="150"/>
  <c r="AV9" i="150"/>
  <c r="AU9" i="150"/>
  <c r="AT9" i="150"/>
  <c r="AS9" i="150"/>
  <c r="AR9" i="150"/>
  <c r="AQ9" i="150"/>
  <c r="AP9" i="150"/>
  <c r="AO9" i="150"/>
  <c r="AN9" i="150"/>
  <c r="AM9" i="150"/>
  <c r="AL9" i="150"/>
  <c r="AK9" i="150"/>
  <c r="AJ9" i="150"/>
  <c r="AI9" i="150"/>
  <c r="AH9" i="150"/>
  <c r="AG9" i="150"/>
  <c r="AF9" i="150"/>
  <c r="AE9" i="150"/>
  <c r="AD9" i="150"/>
  <c r="AC9" i="150"/>
  <c r="AB9" i="150"/>
  <c r="AA9" i="150"/>
  <c r="Z9" i="150"/>
  <c r="Y9" i="150"/>
  <c r="X9" i="150"/>
  <c r="W9" i="150"/>
  <c r="V9" i="150"/>
  <c r="U9" i="150"/>
  <c r="T9" i="150"/>
  <c r="S9" i="150"/>
  <c r="R9" i="150"/>
  <c r="Q9" i="150"/>
  <c r="P9" i="150"/>
  <c r="O9" i="150"/>
  <c r="N9" i="150"/>
  <c r="M9" i="150"/>
  <c r="L9" i="150"/>
  <c r="K9" i="150"/>
  <c r="J9" i="150"/>
  <c r="I9" i="150"/>
  <c r="H9" i="150"/>
  <c r="G9" i="150"/>
  <c r="C13" i="564" l="1"/>
  <c r="C12" i="564"/>
  <c r="G1" i="150"/>
  <c r="F4" i="16" l="1"/>
  <c r="D30" i="564" l="1"/>
  <c r="D23" i="564"/>
  <c r="G9" i="16"/>
  <c r="F9" i="16"/>
  <c r="H1" i="150" l="1"/>
  <c r="I1" i="150" s="1"/>
  <c r="I12" i="150" l="1"/>
  <c r="J12" i="150"/>
  <c r="K12" i="150"/>
  <c r="L12" i="150"/>
  <c r="M12" i="150"/>
  <c r="N12" i="150"/>
  <c r="O12" i="150"/>
  <c r="P12" i="150"/>
  <c r="Q12" i="150"/>
  <c r="R12" i="150"/>
  <c r="S12" i="150"/>
  <c r="T12" i="150"/>
  <c r="U12" i="150"/>
  <c r="V12" i="150"/>
  <c r="W12" i="150"/>
  <c r="X12" i="150"/>
  <c r="Y12" i="150"/>
  <c r="Z12" i="150"/>
  <c r="AA12" i="150"/>
  <c r="AB12" i="150"/>
  <c r="AC12" i="150"/>
  <c r="AD12" i="150"/>
  <c r="AE12" i="150"/>
  <c r="AF12" i="150"/>
  <c r="AG12" i="150"/>
  <c r="AH12" i="150"/>
  <c r="AI12" i="150"/>
  <c r="AJ12" i="150"/>
  <c r="AK12" i="150"/>
  <c r="AL12" i="150"/>
  <c r="AM12" i="150"/>
  <c r="AN12" i="150"/>
  <c r="AO12" i="150"/>
  <c r="AP12" i="150"/>
  <c r="AQ12" i="150"/>
  <c r="AR12" i="150"/>
  <c r="AS12" i="150"/>
  <c r="AT12" i="150"/>
  <c r="AU12" i="150"/>
  <c r="AV12" i="150"/>
  <c r="AW12" i="150"/>
  <c r="AX12" i="150"/>
  <c r="AY12" i="150"/>
  <c r="AZ12" i="150"/>
  <c r="BA12" i="150"/>
  <c r="BB12" i="150"/>
  <c r="BC12" i="150"/>
  <c r="BD12" i="150"/>
  <c r="BE12" i="150"/>
  <c r="BF12" i="150"/>
  <c r="BG12" i="150"/>
  <c r="BH12" i="150"/>
  <c r="BI12" i="150"/>
  <c r="BJ12" i="150"/>
  <c r="BK12" i="150"/>
  <c r="BL12" i="150"/>
  <c r="BM12" i="150"/>
  <c r="BN12" i="150"/>
  <c r="BO12" i="150"/>
  <c r="BP12" i="150"/>
  <c r="BQ12" i="150"/>
  <c r="BR12" i="150"/>
  <c r="BS12" i="150"/>
  <c r="BT12" i="150"/>
  <c r="BU12" i="150"/>
  <c r="BV12" i="150"/>
  <c r="BW12" i="150"/>
  <c r="BX12" i="150"/>
  <c r="BY12" i="150"/>
  <c r="BZ12" i="150"/>
  <c r="CA12" i="150"/>
  <c r="CB12" i="150"/>
  <c r="CC12" i="150"/>
  <c r="CD12" i="150"/>
  <c r="CE12" i="150"/>
  <c r="CF12" i="150"/>
  <c r="CG12" i="150"/>
  <c r="CH12" i="150"/>
  <c r="CI12" i="150"/>
  <c r="CJ12" i="150"/>
  <c r="CK12" i="150"/>
  <c r="CL12" i="150"/>
  <c r="CM12" i="150"/>
  <c r="CN12" i="150"/>
  <c r="CO12" i="150"/>
  <c r="CP12" i="150"/>
  <c r="CQ12" i="150"/>
  <c r="CR12" i="150"/>
  <c r="CS12" i="150"/>
  <c r="CT12" i="150"/>
  <c r="CU12" i="150"/>
  <c r="CV12" i="150"/>
  <c r="CW12" i="150"/>
  <c r="CX12" i="150"/>
  <c r="CY12" i="150"/>
  <c r="CZ12" i="150"/>
  <c r="DA12" i="150"/>
  <c r="DB12" i="150"/>
  <c r="DC12" i="150"/>
  <c r="DD12" i="150"/>
  <c r="DE12" i="150"/>
  <c r="DF12" i="150"/>
  <c r="DG12" i="150"/>
  <c r="DH12" i="150"/>
  <c r="DI12" i="150"/>
  <c r="DJ12" i="150"/>
  <c r="DK12" i="150"/>
  <c r="DL12" i="150"/>
  <c r="DM12" i="150"/>
  <c r="DN12" i="150"/>
  <c r="DO12" i="150"/>
  <c r="DP12" i="150"/>
  <c r="DQ12" i="150"/>
  <c r="DR12" i="150"/>
  <c r="DS12" i="150"/>
  <c r="DT12" i="150"/>
  <c r="DU12" i="150"/>
  <c r="DV12" i="150"/>
  <c r="DW12" i="150"/>
  <c r="DX12" i="150"/>
  <c r="DY12" i="150"/>
  <c r="DZ12" i="150"/>
  <c r="EA12" i="150"/>
  <c r="EB12" i="150"/>
  <c r="EC12" i="150"/>
  <c r="ED12" i="150"/>
  <c r="EE12" i="150"/>
  <c r="EF12" i="150"/>
  <c r="EG12" i="150"/>
  <c r="EH12" i="150"/>
  <c r="EI12" i="150"/>
  <c r="EJ12" i="150"/>
  <c r="EK12" i="150"/>
  <c r="EL12" i="150"/>
  <c r="EM12" i="150"/>
  <c r="EN12" i="150"/>
  <c r="EO12" i="150"/>
  <c r="EP12" i="150"/>
  <c r="EQ12" i="150"/>
  <c r="ER12" i="150"/>
  <c r="ES12" i="150"/>
  <c r="ET12" i="150"/>
  <c r="EU12" i="150"/>
  <c r="EV12" i="150"/>
  <c r="EW12" i="150"/>
  <c r="EX12" i="150"/>
  <c r="EY12" i="150"/>
  <c r="EZ12" i="150"/>
  <c r="FA12" i="150"/>
  <c r="FB12" i="150"/>
  <c r="FC12" i="150"/>
  <c r="FD12" i="150"/>
  <c r="FE12" i="150"/>
  <c r="FF12" i="150"/>
  <c r="FG12" i="150"/>
  <c r="FH12" i="150"/>
  <c r="FI12" i="150"/>
  <c r="FJ12" i="150"/>
  <c r="FK12" i="150"/>
  <c r="FL12" i="150"/>
  <c r="FM12" i="150"/>
  <c r="FN12" i="150"/>
  <c r="FO12" i="150"/>
  <c r="FP12" i="150"/>
  <c r="FQ12" i="150"/>
  <c r="FR12" i="150"/>
  <c r="FS12" i="150"/>
  <c r="FT12" i="150"/>
  <c r="FU12" i="150"/>
  <c r="FV12" i="150"/>
  <c r="FW12" i="150"/>
  <c r="FX12" i="150"/>
  <c r="FY12" i="150"/>
  <c r="FZ12" i="150"/>
  <c r="GA12" i="150"/>
  <c r="GB12" i="150"/>
  <c r="GC12" i="150"/>
  <c r="GD12" i="150"/>
  <c r="GE12" i="150"/>
  <c r="GF12" i="150"/>
  <c r="GG12" i="150"/>
  <c r="GH12" i="150"/>
  <c r="GI12" i="150"/>
  <c r="GJ12" i="150"/>
  <c r="GK12" i="150"/>
  <c r="GL12" i="150"/>
  <c r="GM12" i="150"/>
  <c r="GN12" i="150"/>
  <c r="GO12" i="150"/>
  <c r="GP12" i="150"/>
  <c r="GQ12" i="150"/>
  <c r="GR12" i="150"/>
  <c r="GS12" i="150"/>
  <c r="GT12" i="150"/>
  <c r="GU12" i="150"/>
  <c r="GV12" i="150"/>
  <c r="GW12" i="150"/>
  <c r="GX12" i="150"/>
  <c r="GY12" i="150"/>
  <c r="GZ12" i="150"/>
  <c r="HA12" i="150"/>
  <c r="HB12" i="150"/>
  <c r="HC12" i="150"/>
  <c r="HD12" i="150"/>
  <c r="HE12" i="150"/>
  <c r="HF12" i="150"/>
  <c r="HG12" i="150"/>
  <c r="HH12" i="150"/>
  <c r="HI12" i="150"/>
  <c r="HJ12" i="150"/>
  <c r="HK12" i="150"/>
  <c r="HL12" i="150"/>
  <c r="HM12" i="150"/>
  <c r="HN12" i="150"/>
  <c r="HO12" i="150"/>
  <c r="HP12" i="150"/>
  <c r="HQ12" i="150"/>
  <c r="HR12" i="150"/>
  <c r="HS12" i="150"/>
  <c r="HT12" i="150"/>
  <c r="HU12" i="150"/>
  <c r="HV12" i="150"/>
  <c r="HW12" i="150"/>
  <c r="HX12" i="150"/>
  <c r="HY12" i="150"/>
  <c r="HZ12" i="150"/>
  <c r="IA12" i="150"/>
  <c r="IB12" i="150"/>
  <c r="IC12" i="150"/>
  <c r="ID12" i="150"/>
  <c r="IE12" i="150"/>
  <c r="IF12" i="150"/>
  <c r="IG12" i="150"/>
  <c r="IH12" i="150"/>
  <c r="II12" i="150"/>
  <c r="IJ12" i="150"/>
  <c r="IK12" i="150"/>
  <c r="IL12" i="150"/>
  <c r="IM12" i="150"/>
  <c r="IN12" i="150"/>
  <c r="IO12" i="150"/>
  <c r="IP12" i="150"/>
  <c r="IQ12" i="150"/>
  <c r="IR12" i="150"/>
  <c r="IS12" i="150"/>
  <c r="IT12" i="150"/>
  <c r="IU12" i="150"/>
  <c r="IV12" i="150"/>
  <c r="IW12" i="150"/>
  <c r="IX12" i="150"/>
  <c r="IY12" i="150"/>
  <c r="IZ12" i="150"/>
  <c r="JA12" i="150"/>
  <c r="JB12" i="150"/>
  <c r="JC12" i="150"/>
  <c r="JD12" i="150"/>
  <c r="JE12" i="150"/>
  <c r="JF12" i="150"/>
  <c r="JG12" i="150"/>
  <c r="JH12" i="150"/>
  <c r="JI12" i="150"/>
  <c r="JJ12" i="150"/>
  <c r="JK12" i="150"/>
  <c r="JL12" i="150"/>
  <c r="JM12" i="150"/>
  <c r="JN12" i="150"/>
  <c r="JO12" i="150"/>
  <c r="JP12" i="150"/>
  <c r="JQ12" i="150"/>
  <c r="JR12" i="150"/>
  <c r="JS12" i="150"/>
  <c r="JT12" i="150"/>
  <c r="JU12" i="150"/>
  <c r="JV12" i="150"/>
  <c r="JW12" i="150"/>
  <c r="JX12" i="150"/>
  <c r="JY12" i="150"/>
  <c r="JZ12" i="150"/>
  <c r="KA12" i="150"/>
  <c r="KB12" i="150"/>
  <c r="KC12" i="150"/>
  <c r="KD12" i="150"/>
  <c r="KE12" i="150"/>
  <c r="KF12" i="150"/>
  <c r="KG12" i="150"/>
  <c r="KH12" i="150"/>
  <c r="KI12" i="150"/>
  <c r="KJ12" i="150"/>
  <c r="KK12" i="150"/>
  <c r="KL12" i="150"/>
  <c r="KM12" i="150"/>
  <c r="KN12" i="150"/>
  <c r="KO12" i="150"/>
  <c r="KP12" i="150"/>
  <c r="KQ12" i="150"/>
  <c r="KR12" i="150"/>
  <c r="KS12" i="150"/>
  <c r="KT12" i="150"/>
  <c r="KU12" i="150"/>
  <c r="KV12" i="150"/>
  <c r="KW12" i="150"/>
  <c r="KX12" i="150"/>
  <c r="KY12" i="150"/>
  <c r="KZ12" i="150"/>
  <c r="LA12" i="150"/>
  <c r="LB12" i="150"/>
  <c r="LC12" i="150"/>
  <c r="LD12" i="150"/>
  <c r="LE12" i="150"/>
  <c r="LF12" i="150"/>
  <c r="LG12" i="150"/>
  <c r="LH12" i="150"/>
  <c r="LI12" i="150"/>
  <c r="LJ12" i="150"/>
  <c r="LK12" i="150"/>
  <c r="LL12" i="150"/>
  <c r="LM12" i="150"/>
  <c r="LN12" i="150"/>
  <c r="LO12" i="150"/>
  <c r="LP12" i="150"/>
  <c r="LQ12" i="150"/>
  <c r="LR12" i="150"/>
  <c r="LS12" i="150"/>
  <c r="LT12" i="150"/>
  <c r="LU12" i="150"/>
  <c r="LV12" i="150"/>
  <c r="LW12" i="150"/>
  <c r="LX12" i="150"/>
  <c r="LY12" i="150"/>
  <c r="LZ12" i="150"/>
  <c r="MA12" i="150"/>
  <c r="MB12" i="150"/>
  <c r="MC12" i="150"/>
  <c r="MD12" i="150"/>
  <c r="ME12" i="150"/>
  <c r="MF12" i="150"/>
  <c r="MG12" i="150"/>
  <c r="MH12" i="150"/>
  <c r="MI12" i="150"/>
  <c r="MJ12" i="150"/>
  <c r="MK12" i="150"/>
  <c r="ML12" i="150"/>
  <c r="MM12" i="150"/>
  <c r="MN12" i="150"/>
  <c r="MO12" i="150"/>
  <c r="MP12" i="150"/>
  <c r="MQ12" i="150"/>
  <c r="MR12" i="150"/>
  <c r="MS12" i="150"/>
  <c r="MT12" i="150"/>
  <c r="MU12" i="150"/>
  <c r="MV12" i="150"/>
  <c r="MW12" i="150"/>
  <c r="MX12" i="150"/>
  <c r="MY12" i="150"/>
  <c r="MZ12" i="150"/>
  <c r="NA12" i="150"/>
  <c r="NB12" i="150"/>
  <c r="NC12" i="150"/>
  <c r="ND12" i="150"/>
  <c r="NE12" i="150"/>
  <c r="NF12" i="150"/>
  <c r="NG12" i="150"/>
  <c r="NH12" i="150"/>
  <c r="NI12" i="150"/>
  <c r="NJ12" i="150"/>
  <c r="NK12" i="150"/>
  <c r="NL12" i="150"/>
  <c r="NM12" i="150"/>
  <c r="NN12" i="150"/>
  <c r="NO12" i="150"/>
  <c r="NP12" i="150"/>
  <c r="NQ12" i="150"/>
  <c r="NR12" i="150"/>
  <c r="NS12" i="150"/>
  <c r="NT12" i="150"/>
  <c r="NU12" i="150"/>
  <c r="NV12" i="150"/>
  <c r="NW12" i="150"/>
  <c r="NX12" i="150"/>
  <c r="NY12" i="150"/>
  <c r="NZ12" i="150"/>
  <c r="OA12" i="150"/>
  <c r="OB12" i="150"/>
  <c r="OC12" i="150"/>
  <c r="OD12" i="150"/>
  <c r="OE12" i="150"/>
  <c r="OF12" i="150"/>
  <c r="OG12" i="150"/>
  <c r="OH12" i="150"/>
  <c r="OI12" i="150"/>
  <c r="OJ12" i="150"/>
  <c r="OK12" i="150"/>
  <c r="OL12" i="150"/>
  <c r="OM12" i="150"/>
  <c r="ON12" i="150"/>
  <c r="OO12" i="150"/>
  <c r="OP12" i="150"/>
  <c r="OQ12" i="150"/>
  <c r="OR12" i="150"/>
  <c r="OS12" i="150"/>
  <c r="OT12" i="150"/>
  <c r="OU12" i="150"/>
  <c r="OV12" i="150"/>
  <c r="OW12" i="150"/>
  <c r="OX12" i="150"/>
  <c r="OY12" i="150"/>
  <c r="OZ12" i="150"/>
  <c r="PA12" i="150"/>
  <c r="PB12" i="150"/>
  <c r="PC12" i="150"/>
  <c r="PD12" i="150"/>
  <c r="PE12" i="150"/>
  <c r="PF12" i="150"/>
  <c r="PG12" i="150"/>
  <c r="PH12" i="150"/>
  <c r="PI12" i="150"/>
  <c r="PJ12" i="150"/>
  <c r="PK12" i="150"/>
  <c r="PL12" i="150"/>
  <c r="PM12" i="150"/>
  <c r="PN12" i="150"/>
  <c r="PO12" i="150"/>
  <c r="PP12" i="150"/>
  <c r="PQ12" i="150"/>
  <c r="PR12" i="150"/>
  <c r="PS12" i="150"/>
  <c r="PT12" i="150"/>
  <c r="PU12" i="150"/>
  <c r="PV12" i="150"/>
  <c r="PW12" i="150"/>
  <c r="PX12" i="150"/>
  <c r="PY12" i="150"/>
  <c r="PZ12" i="150"/>
  <c r="QA12" i="150"/>
  <c r="QB12" i="150"/>
  <c r="QC12" i="150"/>
  <c r="QD12" i="150"/>
  <c r="QE12" i="150"/>
  <c r="QF12" i="150"/>
  <c r="QG12" i="150"/>
  <c r="QH12" i="150"/>
  <c r="QI12" i="150"/>
  <c r="QJ12" i="150"/>
  <c r="QK12" i="150"/>
  <c r="QL12" i="150"/>
  <c r="QM12" i="150"/>
  <c r="QN12" i="150"/>
  <c r="QO12" i="150"/>
  <c r="QP12" i="150"/>
  <c r="QQ12" i="150"/>
  <c r="QR12" i="150"/>
  <c r="QS12" i="150"/>
  <c r="QT12" i="150"/>
  <c r="QU12" i="150"/>
  <c r="QV12" i="150"/>
  <c r="QW12" i="150"/>
  <c r="QX12" i="150"/>
  <c r="QY12" i="150"/>
  <c r="QZ12" i="150"/>
  <c r="RA12" i="150"/>
  <c r="RB12" i="150"/>
  <c r="RC12" i="150"/>
  <c r="RD12" i="150"/>
  <c r="RE12" i="150"/>
  <c r="RF12" i="150"/>
  <c r="RG12" i="150"/>
  <c r="RH12" i="150"/>
  <c r="RI12" i="150"/>
  <c r="RJ12" i="150"/>
  <c r="RK12" i="150"/>
  <c r="RL12" i="150"/>
  <c r="RM12" i="150"/>
  <c r="RN12" i="150"/>
  <c r="RO12" i="150"/>
  <c r="RP12" i="150"/>
  <c r="RQ12" i="150"/>
  <c r="RR12" i="150"/>
  <c r="RS12" i="150"/>
  <c r="RT12" i="150"/>
  <c r="RU12" i="150"/>
  <c r="RV12" i="150"/>
  <c r="RW12" i="150"/>
  <c r="RX12" i="150"/>
  <c r="RY12" i="150"/>
  <c r="RZ12" i="150"/>
  <c r="SA12" i="150"/>
  <c r="SB12" i="150"/>
  <c r="SC12" i="150"/>
  <c r="SD12" i="150"/>
  <c r="SE12" i="150"/>
  <c r="SF12" i="150"/>
  <c r="SG12" i="150"/>
  <c r="SH12" i="150"/>
  <c r="SI12" i="150"/>
  <c r="SJ12" i="150"/>
  <c r="SK12" i="150"/>
  <c r="SL12" i="150"/>
  <c r="SM12" i="150"/>
  <c r="SN12" i="150"/>
  <c r="I13" i="150"/>
  <c r="J13" i="150"/>
  <c r="K13" i="150"/>
  <c r="L13" i="150"/>
  <c r="M13" i="150"/>
  <c r="N13" i="150"/>
  <c r="O13" i="150"/>
  <c r="P13" i="150"/>
  <c r="Q13" i="150"/>
  <c r="R13" i="150"/>
  <c r="S13" i="150"/>
  <c r="T13" i="150"/>
  <c r="U13" i="150"/>
  <c r="V13" i="150"/>
  <c r="W13" i="150"/>
  <c r="X13" i="150"/>
  <c r="Y13" i="150"/>
  <c r="Z13" i="150"/>
  <c r="AA13" i="150"/>
  <c r="AB13" i="150"/>
  <c r="AC13" i="150"/>
  <c r="AD13" i="150"/>
  <c r="AE13" i="150"/>
  <c r="AF13" i="150"/>
  <c r="AG13" i="150"/>
  <c r="AH13" i="150"/>
  <c r="AI13" i="150"/>
  <c r="AJ13" i="150"/>
  <c r="AK13" i="150"/>
  <c r="AL13" i="150"/>
  <c r="AM13" i="150"/>
  <c r="AN13" i="150"/>
  <c r="AO13" i="150"/>
  <c r="AP13" i="150"/>
  <c r="AQ13" i="150"/>
  <c r="AR13" i="150"/>
  <c r="AS13" i="150"/>
  <c r="AT13" i="150"/>
  <c r="AU13" i="150"/>
  <c r="AV13" i="150"/>
  <c r="AW13" i="150"/>
  <c r="AX13" i="150"/>
  <c r="AY13" i="150"/>
  <c r="AZ13" i="150"/>
  <c r="BA13" i="150"/>
  <c r="BB13" i="150"/>
  <c r="BC13" i="150"/>
  <c r="BD13" i="150"/>
  <c r="BE13" i="150"/>
  <c r="BF13" i="150"/>
  <c r="BG13" i="150"/>
  <c r="BH13" i="150"/>
  <c r="BI13" i="150"/>
  <c r="BJ13" i="150"/>
  <c r="BK13" i="150"/>
  <c r="BL13" i="150"/>
  <c r="BM13" i="150"/>
  <c r="BN13" i="150"/>
  <c r="BO13" i="150"/>
  <c r="BP13" i="150"/>
  <c r="BQ13" i="150"/>
  <c r="BR13" i="150"/>
  <c r="BS13" i="150"/>
  <c r="BT13" i="150"/>
  <c r="BU13" i="150"/>
  <c r="BV13" i="150"/>
  <c r="BW13" i="150"/>
  <c r="BX13" i="150"/>
  <c r="BY13" i="150"/>
  <c r="BZ13" i="150"/>
  <c r="CA13" i="150"/>
  <c r="CB13" i="150"/>
  <c r="CC13" i="150"/>
  <c r="CD13" i="150"/>
  <c r="CE13" i="150"/>
  <c r="CF13" i="150"/>
  <c r="CG13" i="150"/>
  <c r="CH13" i="150"/>
  <c r="CI13" i="150"/>
  <c r="CJ13" i="150"/>
  <c r="CK13" i="150"/>
  <c r="CL13" i="150"/>
  <c r="CM13" i="150"/>
  <c r="CN13" i="150"/>
  <c r="CO13" i="150"/>
  <c r="CP13" i="150"/>
  <c r="CQ13" i="150"/>
  <c r="CR13" i="150"/>
  <c r="CS13" i="150"/>
  <c r="CT13" i="150"/>
  <c r="CU13" i="150"/>
  <c r="CV13" i="150"/>
  <c r="CW13" i="150"/>
  <c r="CX13" i="150"/>
  <c r="CY13" i="150"/>
  <c r="CZ13" i="150"/>
  <c r="DA13" i="150"/>
  <c r="DB13" i="150"/>
  <c r="DC13" i="150"/>
  <c r="DD13" i="150"/>
  <c r="DE13" i="150"/>
  <c r="DF13" i="150"/>
  <c r="DG13" i="150"/>
  <c r="DH13" i="150"/>
  <c r="DI13" i="150"/>
  <c r="DJ13" i="150"/>
  <c r="DK13" i="150"/>
  <c r="DL13" i="150"/>
  <c r="DM13" i="150"/>
  <c r="DN13" i="150"/>
  <c r="DO13" i="150"/>
  <c r="DP13" i="150"/>
  <c r="DQ13" i="150"/>
  <c r="DR13" i="150"/>
  <c r="DS13" i="150"/>
  <c r="DT13" i="150"/>
  <c r="DU13" i="150"/>
  <c r="DV13" i="150"/>
  <c r="DW13" i="150"/>
  <c r="DX13" i="150"/>
  <c r="DY13" i="150"/>
  <c r="DZ13" i="150"/>
  <c r="EA13" i="150"/>
  <c r="EB13" i="150"/>
  <c r="EC13" i="150"/>
  <c r="ED13" i="150"/>
  <c r="EE13" i="150"/>
  <c r="EF13" i="150"/>
  <c r="EG13" i="150"/>
  <c r="EH13" i="150"/>
  <c r="EI13" i="150"/>
  <c r="EJ13" i="150"/>
  <c r="EK13" i="150"/>
  <c r="EL13" i="150"/>
  <c r="EM13" i="150"/>
  <c r="EN13" i="150"/>
  <c r="EO13" i="150"/>
  <c r="EP13" i="150"/>
  <c r="EQ13" i="150"/>
  <c r="ER13" i="150"/>
  <c r="ES13" i="150"/>
  <c r="ET13" i="150"/>
  <c r="EU13" i="150"/>
  <c r="EV13" i="150"/>
  <c r="EW13" i="150"/>
  <c r="EX13" i="150"/>
  <c r="EY13" i="150"/>
  <c r="EZ13" i="150"/>
  <c r="FA13" i="150"/>
  <c r="FB13" i="150"/>
  <c r="FC13" i="150"/>
  <c r="FD13" i="150"/>
  <c r="FE13" i="150"/>
  <c r="FF13" i="150"/>
  <c r="FG13" i="150"/>
  <c r="FH13" i="150"/>
  <c r="FI13" i="150"/>
  <c r="FJ13" i="150"/>
  <c r="FK13" i="150"/>
  <c r="FL13" i="150"/>
  <c r="FM13" i="150"/>
  <c r="FN13" i="150"/>
  <c r="FO13" i="150"/>
  <c r="FP13" i="150"/>
  <c r="FQ13" i="150"/>
  <c r="FR13" i="150"/>
  <c r="FS13" i="150"/>
  <c r="FT13" i="150"/>
  <c r="FU13" i="150"/>
  <c r="FV13" i="150"/>
  <c r="FW13" i="150"/>
  <c r="FX13" i="150"/>
  <c r="FY13" i="150"/>
  <c r="FZ13" i="150"/>
  <c r="GA13" i="150"/>
  <c r="GB13" i="150"/>
  <c r="GC13" i="150"/>
  <c r="GD13" i="150"/>
  <c r="GE13" i="150"/>
  <c r="GF13" i="150"/>
  <c r="GG13" i="150"/>
  <c r="GH13" i="150"/>
  <c r="GI13" i="150"/>
  <c r="GJ13" i="150"/>
  <c r="GK13" i="150"/>
  <c r="GL13" i="150"/>
  <c r="GM13" i="150"/>
  <c r="GN13" i="150"/>
  <c r="GO13" i="150"/>
  <c r="GP13" i="150"/>
  <c r="GQ13" i="150"/>
  <c r="GR13" i="150"/>
  <c r="GS13" i="150"/>
  <c r="GT13" i="150"/>
  <c r="GU13" i="150"/>
  <c r="GV13" i="150"/>
  <c r="GW13" i="150"/>
  <c r="GX13" i="150"/>
  <c r="GY13" i="150"/>
  <c r="GZ13" i="150"/>
  <c r="HA13" i="150"/>
  <c r="HB13" i="150"/>
  <c r="HC13" i="150"/>
  <c r="HD13" i="150"/>
  <c r="HE13" i="150"/>
  <c r="HF13" i="150"/>
  <c r="HG13" i="150"/>
  <c r="HH13" i="150"/>
  <c r="HI13" i="150"/>
  <c r="HJ13" i="150"/>
  <c r="HK13" i="150"/>
  <c r="HL13" i="150"/>
  <c r="HM13" i="150"/>
  <c r="HN13" i="150"/>
  <c r="HO13" i="150"/>
  <c r="HP13" i="150"/>
  <c r="HQ13" i="150"/>
  <c r="HR13" i="150"/>
  <c r="HS13" i="150"/>
  <c r="HT13" i="150"/>
  <c r="HU13" i="150"/>
  <c r="HV13" i="150"/>
  <c r="HW13" i="150"/>
  <c r="HX13" i="150"/>
  <c r="HY13" i="150"/>
  <c r="HZ13" i="150"/>
  <c r="IA13" i="150"/>
  <c r="IB13" i="150"/>
  <c r="IC13" i="150"/>
  <c r="ID13" i="150"/>
  <c r="IE13" i="150"/>
  <c r="IF13" i="150"/>
  <c r="IG13" i="150"/>
  <c r="IH13" i="150"/>
  <c r="II13" i="150"/>
  <c r="IJ13" i="150"/>
  <c r="IK13" i="150"/>
  <c r="IL13" i="150"/>
  <c r="IM13" i="150"/>
  <c r="IN13" i="150"/>
  <c r="IO13" i="150"/>
  <c r="IP13" i="150"/>
  <c r="IQ13" i="150"/>
  <c r="IR13" i="150"/>
  <c r="IS13" i="150"/>
  <c r="IT13" i="150"/>
  <c r="IU13" i="150"/>
  <c r="IV13" i="150"/>
  <c r="IW13" i="150"/>
  <c r="IX13" i="150"/>
  <c r="IY13" i="150"/>
  <c r="IZ13" i="150"/>
  <c r="JA13" i="150"/>
  <c r="JB13" i="150"/>
  <c r="JC13" i="150"/>
  <c r="JD13" i="150"/>
  <c r="JE13" i="150"/>
  <c r="JF13" i="150"/>
  <c r="JG13" i="150"/>
  <c r="JH13" i="150"/>
  <c r="JI13" i="150"/>
  <c r="JJ13" i="150"/>
  <c r="JK13" i="150"/>
  <c r="JL13" i="150"/>
  <c r="JM13" i="150"/>
  <c r="JN13" i="150"/>
  <c r="JO13" i="150"/>
  <c r="JP13" i="150"/>
  <c r="JQ13" i="150"/>
  <c r="JR13" i="150"/>
  <c r="JS13" i="150"/>
  <c r="JT13" i="150"/>
  <c r="JU13" i="150"/>
  <c r="JV13" i="150"/>
  <c r="JW13" i="150"/>
  <c r="JX13" i="150"/>
  <c r="JY13" i="150"/>
  <c r="JZ13" i="150"/>
  <c r="KA13" i="150"/>
  <c r="KB13" i="150"/>
  <c r="KC13" i="150"/>
  <c r="KD13" i="150"/>
  <c r="KE13" i="150"/>
  <c r="KF13" i="150"/>
  <c r="KG13" i="150"/>
  <c r="KH13" i="150"/>
  <c r="KI13" i="150"/>
  <c r="KJ13" i="150"/>
  <c r="KK13" i="150"/>
  <c r="KL13" i="150"/>
  <c r="KM13" i="150"/>
  <c r="KN13" i="150"/>
  <c r="KO13" i="150"/>
  <c r="KP13" i="150"/>
  <c r="KQ13" i="150"/>
  <c r="KR13" i="150"/>
  <c r="KS13" i="150"/>
  <c r="KT13" i="150"/>
  <c r="KU13" i="150"/>
  <c r="KV13" i="150"/>
  <c r="KW13" i="150"/>
  <c r="KX13" i="150"/>
  <c r="KY13" i="150"/>
  <c r="KZ13" i="150"/>
  <c r="LA13" i="150"/>
  <c r="LB13" i="150"/>
  <c r="LC13" i="150"/>
  <c r="LD13" i="150"/>
  <c r="LE13" i="150"/>
  <c r="LF13" i="150"/>
  <c r="LG13" i="150"/>
  <c r="LH13" i="150"/>
  <c r="LI13" i="150"/>
  <c r="LJ13" i="150"/>
  <c r="LK13" i="150"/>
  <c r="LL13" i="150"/>
  <c r="LM13" i="150"/>
  <c r="LN13" i="150"/>
  <c r="LO13" i="150"/>
  <c r="LP13" i="150"/>
  <c r="LQ13" i="150"/>
  <c r="LR13" i="150"/>
  <c r="LS13" i="150"/>
  <c r="LT13" i="150"/>
  <c r="LU13" i="150"/>
  <c r="LV13" i="150"/>
  <c r="LW13" i="150"/>
  <c r="LX13" i="150"/>
  <c r="LY13" i="150"/>
  <c r="LZ13" i="150"/>
  <c r="MA13" i="150"/>
  <c r="MB13" i="150"/>
  <c r="MC13" i="150"/>
  <c r="MD13" i="150"/>
  <c r="ME13" i="150"/>
  <c r="MF13" i="150"/>
  <c r="MG13" i="150"/>
  <c r="MH13" i="150"/>
  <c r="MI13" i="150"/>
  <c r="MJ13" i="150"/>
  <c r="MK13" i="150"/>
  <c r="ML13" i="150"/>
  <c r="MM13" i="150"/>
  <c r="MN13" i="150"/>
  <c r="MO13" i="150"/>
  <c r="MP13" i="150"/>
  <c r="MQ13" i="150"/>
  <c r="MR13" i="150"/>
  <c r="MS13" i="150"/>
  <c r="MT13" i="150"/>
  <c r="MU13" i="150"/>
  <c r="MV13" i="150"/>
  <c r="MW13" i="150"/>
  <c r="MX13" i="150"/>
  <c r="MY13" i="150"/>
  <c r="MZ13" i="150"/>
  <c r="NA13" i="150"/>
  <c r="NB13" i="150"/>
  <c r="NC13" i="150"/>
  <c r="ND13" i="150"/>
  <c r="NE13" i="150"/>
  <c r="NF13" i="150"/>
  <c r="NG13" i="150"/>
  <c r="NH13" i="150"/>
  <c r="NI13" i="150"/>
  <c r="NJ13" i="150"/>
  <c r="NK13" i="150"/>
  <c r="NL13" i="150"/>
  <c r="NM13" i="150"/>
  <c r="NN13" i="150"/>
  <c r="NO13" i="150"/>
  <c r="NP13" i="150"/>
  <c r="NQ13" i="150"/>
  <c r="NR13" i="150"/>
  <c r="NS13" i="150"/>
  <c r="NT13" i="150"/>
  <c r="NU13" i="150"/>
  <c r="NV13" i="150"/>
  <c r="NW13" i="150"/>
  <c r="NX13" i="150"/>
  <c r="NY13" i="150"/>
  <c r="NZ13" i="150"/>
  <c r="OA13" i="150"/>
  <c r="OB13" i="150"/>
  <c r="OC13" i="150"/>
  <c r="OD13" i="150"/>
  <c r="OE13" i="150"/>
  <c r="OF13" i="150"/>
  <c r="OG13" i="150"/>
  <c r="OH13" i="150"/>
  <c r="OI13" i="150"/>
  <c r="OJ13" i="150"/>
  <c r="OK13" i="150"/>
  <c r="OL13" i="150"/>
  <c r="OM13" i="150"/>
  <c r="ON13" i="150"/>
  <c r="OO13" i="150"/>
  <c r="OP13" i="150"/>
  <c r="OQ13" i="150"/>
  <c r="OR13" i="150"/>
  <c r="OS13" i="150"/>
  <c r="OT13" i="150"/>
  <c r="OU13" i="150"/>
  <c r="OV13" i="150"/>
  <c r="OW13" i="150"/>
  <c r="OX13" i="150"/>
  <c r="OY13" i="150"/>
  <c r="OZ13" i="150"/>
  <c r="PA13" i="150"/>
  <c r="PB13" i="150"/>
  <c r="PC13" i="150"/>
  <c r="PD13" i="150"/>
  <c r="PE13" i="150"/>
  <c r="PF13" i="150"/>
  <c r="PG13" i="150"/>
  <c r="PH13" i="150"/>
  <c r="PI13" i="150"/>
  <c r="PJ13" i="150"/>
  <c r="PK13" i="150"/>
  <c r="PL13" i="150"/>
  <c r="PM13" i="150"/>
  <c r="PN13" i="150"/>
  <c r="PO13" i="150"/>
  <c r="PP13" i="150"/>
  <c r="PQ13" i="150"/>
  <c r="PR13" i="150"/>
  <c r="PS13" i="150"/>
  <c r="PT13" i="150"/>
  <c r="PU13" i="150"/>
  <c r="PV13" i="150"/>
  <c r="PW13" i="150"/>
  <c r="PX13" i="150"/>
  <c r="PY13" i="150"/>
  <c r="PZ13" i="150"/>
  <c r="QA13" i="150"/>
  <c r="QB13" i="150"/>
  <c r="QC13" i="150"/>
  <c r="QD13" i="150"/>
  <c r="QE13" i="150"/>
  <c r="QF13" i="150"/>
  <c r="QG13" i="150"/>
  <c r="QH13" i="150"/>
  <c r="QI13" i="150"/>
  <c r="QJ13" i="150"/>
  <c r="QK13" i="150"/>
  <c r="QL13" i="150"/>
  <c r="QM13" i="150"/>
  <c r="QN13" i="150"/>
  <c r="QO13" i="150"/>
  <c r="QP13" i="150"/>
  <c r="QQ13" i="150"/>
  <c r="QR13" i="150"/>
  <c r="QS13" i="150"/>
  <c r="QT13" i="150"/>
  <c r="QU13" i="150"/>
  <c r="QV13" i="150"/>
  <c r="QW13" i="150"/>
  <c r="QX13" i="150"/>
  <c r="QY13" i="150"/>
  <c r="QZ13" i="150"/>
  <c r="RA13" i="150"/>
  <c r="RB13" i="150"/>
  <c r="RC13" i="150"/>
  <c r="RD13" i="150"/>
  <c r="RE13" i="150"/>
  <c r="RF13" i="150"/>
  <c r="RG13" i="150"/>
  <c r="RH13" i="150"/>
  <c r="RI13" i="150"/>
  <c r="RJ13" i="150"/>
  <c r="RK13" i="150"/>
  <c r="RL13" i="150"/>
  <c r="RM13" i="150"/>
  <c r="RN13" i="150"/>
  <c r="RO13" i="150"/>
  <c r="RP13" i="150"/>
  <c r="RQ13" i="150"/>
  <c r="RR13" i="150"/>
  <c r="RS13" i="150"/>
  <c r="RT13" i="150"/>
  <c r="RU13" i="150"/>
  <c r="RV13" i="150"/>
  <c r="RW13" i="150"/>
  <c r="RX13" i="150"/>
  <c r="RY13" i="150"/>
  <c r="RZ13" i="150"/>
  <c r="SA13" i="150"/>
  <c r="SB13" i="150"/>
  <c r="SC13" i="150"/>
  <c r="SD13" i="150"/>
  <c r="SE13" i="150"/>
  <c r="SF13" i="150"/>
  <c r="SG13" i="150"/>
  <c r="SH13" i="150"/>
  <c r="SI13" i="150"/>
  <c r="SJ13" i="150"/>
  <c r="SK13" i="150"/>
  <c r="SL13" i="150"/>
  <c r="SM13" i="150"/>
  <c r="SN13" i="150"/>
  <c r="I14" i="150"/>
  <c r="J14" i="150"/>
  <c r="K14" i="150"/>
  <c r="L14" i="150"/>
  <c r="M14" i="150"/>
  <c r="N14" i="150"/>
  <c r="O14" i="150"/>
  <c r="P14" i="150"/>
  <c r="Q14" i="150"/>
  <c r="R14" i="150"/>
  <c r="S14" i="150"/>
  <c r="T14" i="150"/>
  <c r="U14" i="150"/>
  <c r="V14" i="150"/>
  <c r="W14" i="150"/>
  <c r="X14" i="150"/>
  <c r="Y14" i="150"/>
  <c r="Z14" i="150"/>
  <c r="AA14" i="150"/>
  <c r="AB14" i="150"/>
  <c r="AC14" i="150"/>
  <c r="AD14" i="150"/>
  <c r="AE14" i="150"/>
  <c r="AF14" i="150"/>
  <c r="AG14" i="150"/>
  <c r="AH14" i="150"/>
  <c r="AI14" i="150"/>
  <c r="AJ14" i="150"/>
  <c r="AK14" i="150"/>
  <c r="AL14" i="150"/>
  <c r="AM14" i="150"/>
  <c r="AN14" i="150"/>
  <c r="AO14" i="150"/>
  <c r="AP14" i="150"/>
  <c r="AQ14" i="150"/>
  <c r="AR14" i="150"/>
  <c r="AS14" i="150"/>
  <c r="AT14" i="150"/>
  <c r="AU14" i="150"/>
  <c r="AV14" i="150"/>
  <c r="AW14" i="150"/>
  <c r="AX14" i="150"/>
  <c r="AY14" i="150"/>
  <c r="AZ14" i="150"/>
  <c r="BA14" i="150"/>
  <c r="BB14" i="150"/>
  <c r="BC14" i="150"/>
  <c r="BD14" i="150"/>
  <c r="BE14" i="150"/>
  <c r="BF14" i="150"/>
  <c r="BG14" i="150"/>
  <c r="BH14" i="150"/>
  <c r="BI14" i="150"/>
  <c r="BJ14" i="150"/>
  <c r="BK14" i="150"/>
  <c r="BL14" i="150"/>
  <c r="BM14" i="150"/>
  <c r="BN14" i="150"/>
  <c r="BO14" i="150"/>
  <c r="BP14" i="150"/>
  <c r="BQ14" i="150"/>
  <c r="BR14" i="150"/>
  <c r="BS14" i="150"/>
  <c r="BT14" i="150"/>
  <c r="BU14" i="150"/>
  <c r="BV14" i="150"/>
  <c r="BW14" i="150"/>
  <c r="BX14" i="150"/>
  <c r="BY14" i="150"/>
  <c r="BZ14" i="150"/>
  <c r="CA14" i="150"/>
  <c r="CB14" i="150"/>
  <c r="CC14" i="150"/>
  <c r="CD14" i="150"/>
  <c r="CE14" i="150"/>
  <c r="CF14" i="150"/>
  <c r="CG14" i="150"/>
  <c r="CH14" i="150"/>
  <c r="CI14" i="150"/>
  <c r="CJ14" i="150"/>
  <c r="CK14" i="150"/>
  <c r="CL14" i="150"/>
  <c r="CM14" i="150"/>
  <c r="CN14" i="150"/>
  <c r="CO14" i="150"/>
  <c r="CP14" i="150"/>
  <c r="CQ14" i="150"/>
  <c r="CR14" i="150"/>
  <c r="CS14" i="150"/>
  <c r="CT14" i="150"/>
  <c r="CU14" i="150"/>
  <c r="CV14" i="150"/>
  <c r="CW14" i="150"/>
  <c r="CX14" i="150"/>
  <c r="CY14" i="150"/>
  <c r="CZ14" i="150"/>
  <c r="DA14" i="150"/>
  <c r="DB14" i="150"/>
  <c r="DC14" i="150"/>
  <c r="DD14" i="150"/>
  <c r="DE14" i="150"/>
  <c r="DF14" i="150"/>
  <c r="DG14" i="150"/>
  <c r="DH14" i="150"/>
  <c r="DI14" i="150"/>
  <c r="DJ14" i="150"/>
  <c r="DK14" i="150"/>
  <c r="DL14" i="150"/>
  <c r="DM14" i="150"/>
  <c r="DN14" i="150"/>
  <c r="DO14" i="150"/>
  <c r="DP14" i="150"/>
  <c r="DQ14" i="150"/>
  <c r="DR14" i="150"/>
  <c r="DS14" i="150"/>
  <c r="DT14" i="150"/>
  <c r="DU14" i="150"/>
  <c r="DV14" i="150"/>
  <c r="DW14" i="150"/>
  <c r="DX14" i="150"/>
  <c r="DY14" i="150"/>
  <c r="DZ14" i="150"/>
  <c r="EA14" i="150"/>
  <c r="EB14" i="150"/>
  <c r="EC14" i="150"/>
  <c r="ED14" i="150"/>
  <c r="EE14" i="150"/>
  <c r="EF14" i="150"/>
  <c r="EG14" i="150"/>
  <c r="EH14" i="150"/>
  <c r="EI14" i="150"/>
  <c r="EJ14" i="150"/>
  <c r="EK14" i="150"/>
  <c r="EL14" i="150"/>
  <c r="EM14" i="150"/>
  <c r="EN14" i="150"/>
  <c r="EO14" i="150"/>
  <c r="EP14" i="150"/>
  <c r="EQ14" i="150"/>
  <c r="ER14" i="150"/>
  <c r="ES14" i="150"/>
  <c r="ET14" i="150"/>
  <c r="EU14" i="150"/>
  <c r="EV14" i="150"/>
  <c r="EW14" i="150"/>
  <c r="EX14" i="150"/>
  <c r="EY14" i="150"/>
  <c r="EZ14" i="150"/>
  <c r="FA14" i="150"/>
  <c r="FB14" i="150"/>
  <c r="FC14" i="150"/>
  <c r="FD14" i="150"/>
  <c r="FE14" i="150"/>
  <c r="FF14" i="150"/>
  <c r="FG14" i="150"/>
  <c r="FH14" i="150"/>
  <c r="FI14" i="150"/>
  <c r="FJ14" i="150"/>
  <c r="FK14" i="150"/>
  <c r="FL14" i="150"/>
  <c r="FM14" i="150"/>
  <c r="FN14" i="150"/>
  <c r="FO14" i="150"/>
  <c r="FP14" i="150"/>
  <c r="FQ14" i="150"/>
  <c r="FR14" i="150"/>
  <c r="FS14" i="150"/>
  <c r="FT14" i="150"/>
  <c r="FU14" i="150"/>
  <c r="FV14" i="150"/>
  <c r="FW14" i="150"/>
  <c r="FX14" i="150"/>
  <c r="FY14" i="150"/>
  <c r="FZ14" i="150"/>
  <c r="GA14" i="150"/>
  <c r="GB14" i="150"/>
  <c r="GC14" i="150"/>
  <c r="GD14" i="150"/>
  <c r="GE14" i="150"/>
  <c r="GF14" i="150"/>
  <c r="GG14" i="150"/>
  <c r="GH14" i="150"/>
  <c r="GI14" i="150"/>
  <c r="GJ14" i="150"/>
  <c r="GK14" i="150"/>
  <c r="GL14" i="150"/>
  <c r="GM14" i="150"/>
  <c r="GN14" i="150"/>
  <c r="GO14" i="150"/>
  <c r="GP14" i="150"/>
  <c r="GQ14" i="150"/>
  <c r="GR14" i="150"/>
  <c r="GS14" i="150"/>
  <c r="GT14" i="150"/>
  <c r="GU14" i="150"/>
  <c r="GV14" i="150"/>
  <c r="GW14" i="150"/>
  <c r="GX14" i="150"/>
  <c r="GY14" i="150"/>
  <c r="GZ14" i="150"/>
  <c r="HA14" i="150"/>
  <c r="HB14" i="150"/>
  <c r="HC14" i="150"/>
  <c r="HD14" i="150"/>
  <c r="HE14" i="150"/>
  <c r="HF14" i="150"/>
  <c r="HG14" i="150"/>
  <c r="HH14" i="150"/>
  <c r="HI14" i="150"/>
  <c r="HJ14" i="150"/>
  <c r="HK14" i="150"/>
  <c r="HL14" i="150"/>
  <c r="HM14" i="150"/>
  <c r="HN14" i="150"/>
  <c r="HO14" i="150"/>
  <c r="HP14" i="150"/>
  <c r="HQ14" i="150"/>
  <c r="HR14" i="150"/>
  <c r="HS14" i="150"/>
  <c r="HT14" i="150"/>
  <c r="HU14" i="150"/>
  <c r="HV14" i="150"/>
  <c r="HW14" i="150"/>
  <c r="HX14" i="150"/>
  <c r="HY14" i="150"/>
  <c r="HZ14" i="150"/>
  <c r="IA14" i="150"/>
  <c r="IB14" i="150"/>
  <c r="IC14" i="150"/>
  <c r="ID14" i="150"/>
  <c r="IE14" i="150"/>
  <c r="IF14" i="150"/>
  <c r="IG14" i="150"/>
  <c r="IH14" i="150"/>
  <c r="II14" i="150"/>
  <c r="IJ14" i="150"/>
  <c r="IK14" i="150"/>
  <c r="IL14" i="150"/>
  <c r="IM14" i="150"/>
  <c r="IN14" i="150"/>
  <c r="IO14" i="150"/>
  <c r="IP14" i="150"/>
  <c r="IQ14" i="150"/>
  <c r="IR14" i="150"/>
  <c r="IS14" i="150"/>
  <c r="IT14" i="150"/>
  <c r="IU14" i="150"/>
  <c r="IV14" i="150"/>
  <c r="IW14" i="150"/>
  <c r="IX14" i="150"/>
  <c r="IY14" i="150"/>
  <c r="IZ14" i="150"/>
  <c r="JA14" i="150"/>
  <c r="JB14" i="150"/>
  <c r="JC14" i="150"/>
  <c r="JD14" i="150"/>
  <c r="JE14" i="150"/>
  <c r="JF14" i="150"/>
  <c r="JG14" i="150"/>
  <c r="JH14" i="150"/>
  <c r="JI14" i="150"/>
  <c r="JJ14" i="150"/>
  <c r="JK14" i="150"/>
  <c r="JL14" i="150"/>
  <c r="JM14" i="150"/>
  <c r="JN14" i="150"/>
  <c r="JO14" i="150"/>
  <c r="JP14" i="150"/>
  <c r="JQ14" i="150"/>
  <c r="JR14" i="150"/>
  <c r="JS14" i="150"/>
  <c r="JT14" i="150"/>
  <c r="JU14" i="150"/>
  <c r="JV14" i="150"/>
  <c r="JW14" i="150"/>
  <c r="JX14" i="150"/>
  <c r="JY14" i="150"/>
  <c r="JZ14" i="150"/>
  <c r="KA14" i="150"/>
  <c r="KB14" i="150"/>
  <c r="KC14" i="150"/>
  <c r="KD14" i="150"/>
  <c r="KE14" i="150"/>
  <c r="KF14" i="150"/>
  <c r="KG14" i="150"/>
  <c r="KH14" i="150"/>
  <c r="KI14" i="150"/>
  <c r="KJ14" i="150"/>
  <c r="KK14" i="150"/>
  <c r="KL14" i="150"/>
  <c r="KM14" i="150"/>
  <c r="KN14" i="150"/>
  <c r="KO14" i="150"/>
  <c r="KP14" i="150"/>
  <c r="KQ14" i="150"/>
  <c r="KR14" i="150"/>
  <c r="KS14" i="150"/>
  <c r="KT14" i="150"/>
  <c r="KU14" i="150"/>
  <c r="KV14" i="150"/>
  <c r="KW14" i="150"/>
  <c r="KX14" i="150"/>
  <c r="KY14" i="150"/>
  <c r="KZ14" i="150"/>
  <c r="LA14" i="150"/>
  <c r="LB14" i="150"/>
  <c r="LC14" i="150"/>
  <c r="LD14" i="150"/>
  <c r="LE14" i="150"/>
  <c r="LF14" i="150"/>
  <c r="LG14" i="150"/>
  <c r="LH14" i="150"/>
  <c r="LI14" i="150"/>
  <c r="LJ14" i="150"/>
  <c r="LK14" i="150"/>
  <c r="LL14" i="150"/>
  <c r="LM14" i="150"/>
  <c r="LN14" i="150"/>
  <c r="LO14" i="150"/>
  <c r="LP14" i="150"/>
  <c r="LQ14" i="150"/>
  <c r="LR14" i="150"/>
  <c r="LS14" i="150"/>
  <c r="LT14" i="150"/>
  <c r="LU14" i="150"/>
  <c r="LV14" i="150"/>
  <c r="LW14" i="150"/>
  <c r="LX14" i="150"/>
  <c r="LY14" i="150"/>
  <c r="LZ14" i="150"/>
  <c r="MA14" i="150"/>
  <c r="MB14" i="150"/>
  <c r="MC14" i="150"/>
  <c r="MD14" i="150"/>
  <c r="ME14" i="150"/>
  <c r="MF14" i="150"/>
  <c r="MG14" i="150"/>
  <c r="MH14" i="150"/>
  <c r="MI14" i="150"/>
  <c r="MJ14" i="150"/>
  <c r="MK14" i="150"/>
  <c r="ML14" i="150"/>
  <c r="MM14" i="150"/>
  <c r="MN14" i="150"/>
  <c r="MO14" i="150"/>
  <c r="MP14" i="150"/>
  <c r="MQ14" i="150"/>
  <c r="MR14" i="150"/>
  <c r="MS14" i="150"/>
  <c r="MT14" i="150"/>
  <c r="MU14" i="150"/>
  <c r="MV14" i="150"/>
  <c r="MW14" i="150"/>
  <c r="MX14" i="150"/>
  <c r="MY14" i="150"/>
  <c r="MZ14" i="150"/>
  <c r="NA14" i="150"/>
  <c r="NB14" i="150"/>
  <c r="NC14" i="150"/>
  <c r="ND14" i="150"/>
  <c r="NE14" i="150"/>
  <c r="NF14" i="150"/>
  <c r="NG14" i="150"/>
  <c r="NH14" i="150"/>
  <c r="NI14" i="150"/>
  <c r="NJ14" i="150"/>
  <c r="NK14" i="150"/>
  <c r="NL14" i="150"/>
  <c r="NM14" i="150"/>
  <c r="NN14" i="150"/>
  <c r="NO14" i="150"/>
  <c r="NP14" i="150"/>
  <c r="NQ14" i="150"/>
  <c r="NR14" i="150"/>
  <c r="NS14" i="150"/>
  <c r="NT14" i="150"/>
  <c r="NU14" i="150"/>
  <c r="NV14" i="150"/>
  <c r="NW14" i="150"/>
  <c r="NX14" i="150"/>
  <c r="NY14" i="150"/>
  <c r="NZ14" i="150"/>
  <c r="OA14" i="150"/>
  <c r="OB14" i="150"/>
  <c r="OC14" i="150"/>
  <c r="OD14" i="150"/>
  <c r="OE14" i="150"/>
  <c r="OF14" i="150"/>
  <c r="OG14" i="150"/>
  <c r="OH14" i="150"/>
  <c r="OI14" i="150"/>
  <c r="OJ14" i="150"/>
  <c r="OK14" i="150"/>
  <c r="OL14" i="150"/>
  <c r="OM14" i="150"/>
  <c r="ON14" i="150"/>
  <c r="OO14" i="150"/>
  <c r="OP14" i="150"/>
  <c r="OQ14" i="150"/>
  <c r="OR14" i="150"/>
  <c r="OS14" i="150"/>
  <c r="OT14" i="150"/>
  <c r="OU14" i="150"/>
  <c r="OV14" i="150"/>
  <c r="OW14" i="150"/>
  <c r="OX14" i="150"/>
  <c r="OY14" i="150"/>
  <c r="OZ14" i="150"/>
  <c r="PA14" i="150"/>
  <c r="PB14" i="150"/>
  <c r="PC14" i="150"/>
  <c r="PD14" i="150"/>
  <c r="PE14" i="150"/>
  <c r="PF14" i="150"/>
  <c r="PG14" i="150"/>
  <c r="PH14" i="150"/>
  <c r="PI14" i="150"/>
  <c r="PJ14" i="150"/>
  <c r="PK14" i="150"/>
  <c r="PL14" i="150"/>
  <c r="PM14" i="150"/>
  <c r="PN14" i="150"/>
  <c r="PO14" i="150"/>
  <c r="PP14" i="150"/>
  <c r="PQ14" i="150"/>
  <c r="PR14" i="150"/>
  <c r="PS14" i="150"/>
  <c r="PT14" i="150"/>
  <c r="PU14" i="150"/>
  <c r="PV14" i="150"/>
  <c r="PW14" i="150"/>
  <c r="PX14" i="150"/>
  <c r="PY14" i="150"/>
  <c r="PZ14" i="150"/>
  <c r="QA14" i="150"/>
  <c r="QB14" i="150"/>
  <c r="QC14" i="150"/>
  <c r="QD14" i="150"/>
  <c r="QE14" i="150"/>
  <c r="QF14" i="150"/>
  <c r="QG14" i="150"/>
  <c r="QH14" i="150"/>
  <c r="QI14" i="150"/>
  <c r="QJ14" i="150"/>
  <c r="QK14" i="150"/>
  <c r="QL14" i="150"/>
  <c r="QM14" i="150"/>
  <c r="QN14" i="150"/>
  <c r="QO14" i="150"/>
  <c r="QP14" i="150"/>
  <c r="QQ14" i="150"/>
  <c r="QR14" i="150"/>
  <c r="QS14" i="150"/>
  <c r="QT14" i="150"/>
  <c r="QU14" i="150"/>
  <c r="QV14" i="150"/>
  <c r="QW14" i="150"/>
  <c r="QX14" i="150"/>
  <c r="QY14" i="150"/>
  <c r="QZ14" i="150"/>
  <c r="RA14" i="150"/>
  <c r="RB14" i="150"/>
  <c r="RC14" i="150"/>
  <c r="RD14" i="150"/>
  <c r="RE14" i="150"/>
  <c r="RF14" i="150"/>
  <c r="RG14" i="150"/>
  <c r="RH14" i="150"/>
  <c r="RI14" i="150"/>
  <c r="RJ14" i="150"/>
  <c r="RK14" i="150"/>
  <c r="RL14" i="150"/>
  <c r="RM14" i="150"/>
  <c r="RN14" i="150"/>
  <c r="RO14" i="150"/>
  <c r="RP14" i="150"/>
  <c r="RQ14" i="150"/>
  <c r="RR14" i="150"/>
  <c r="RS14" i="150"/>
  <c r="RT14" i="150"/>
  <c r="RU14" i="150"/>
  <c r="RV14" i="150"/>
  <c r="RW14" i="150"/>
  <c r="RX14" i="150"/>
  <c r="RY14" i="150"/>
  <c r="RZ14" i="150"/>
  <c r="SA14" i="150"/>
  <c r="SB14" i="150"/>
  <c r="SC14" i="150"/>
  <c r="SD14" i="150"/>
  <c r="SE14" i="150"/>
  <c r="SF14" i="150"/>
  <c r="SG14" i="150"/>
  <c r="SH14" i="150"/>
  <c r="SI14" i="150"/>
  <c r="SJ14" i="150"/>
  <c r="SK14" i="150"/>
  <c r="SL14" i="150"/>
  <c r="SM14" i="150"/>
  <c r="SN14" i="150"/>
  <c r="Z6" i="513" l="1"/>
  <c r="Y6" i="513"/>
  <c r="X6" i="513"/>
  <c r="W6" i="513"/>
  <c r="U6" i="513"/>
  <c r="V6" i="513"/>
  <c r="T6" i="513"/>
  <c r="Q6" i="513"/>
  <c r="P6" i="513"/>
  <c r="AE13" i="513"/>
  <c r="AE14" i="513" s="1"/>
  <c r="AD13" i="513"/>
  <c r="AD14" i="513" s="1"/>
  <c r="AC13" i="513"/>
  <c r="AC14" i="513" s="1"/>
  <c r="AB13" i="513"/>
  <c r="AB14" i="513" s="1"/>
  <c r="AA13" i="513"/>
  <c r="AA14" i="513" s="1"/>
  <c r="Z13" i="513"/>
  <c r="Y13" i="513"/>
  <c r="X13" i="513"/>
  <c r="W13" i="513"/>
  <c r="V13" i="513"/>
  <c r="U13" i="513"/>
  <c r="T13" i="513"/>
  <c r="S13" i="513"/>
  <c r="S14" i="513" s="1"/>
  <c r="R13" i="513"/>
  <c r="R14" i="513" s="1"/>
  <c r="Q13" i="513"/>
  <c r="P13" i="513"/>
  <c r="P14" i="513" s="1"/>
  <c r="O13" i="513"/>
  <c r="O14" i="513" s="1"/>
  <c r="N13" i="513"/>
  <c r="N14" i="513" s="1"/>
  <c r="M13" i="513"/>
  <c r="M14" i="513" s="1"/>
  <c r="L13" i="513"/>
  <c r="L14" i="513" s="1"/>
  <c r="K13" i="513"/>
  <c r="K14" i="513" s="1"/>
  <c r="J13" i="513"/>
  <c r="J14" i="513" s="1"/>
  <c r="I13" i="513"/>
  <c r="I14" i="513" s="1"/>
  <c r="H13" i="513"/>
  <c r="H14" i="513" s="1"/>
  <c r="G13" i="513"/>
  <c r="G14" i="513" s="1"/>
  <c r="F13" i="513"/>
  <c r="F14" i="513" s="1"/>
  <c r="E13" i="513"/>
  <c r="E14" i="513" s="1"/>
  <c r="D13" i="513"/>
  <c r="D14" i="513" s="1"/>
  <c r="Q14" i="513" l="1"/>
  <c r="AF12" i="513"/>
  <c r="D10" i="526" s="1"/>
  <c r="T14" i="513"/>
  <c r="Z14" i="513"/>
  <c r="U14" i="513"/>
  <c r="V14" i="513"/>
  <c r="X14" i="513"/>
  <c r="Y14" i="513"/>
  <c r="W14" i="513"/>
  <c r="AF7" i="513"/>
  <c r="D5" i="526" s="1"/>
  <c r="AF8" i="513"/>
  <c r="D6" i="526" s="1"/>
  <c r="AF9" i="513"/>
  <c r="D7" i="526" s="1"/>
  <c r="AF10" i="513"/>
  <c r="D8" i="526" s="1"/>
  <c r="AF11" i="513"/>
  <c r="D9" i="526" s="1"/>
  <c r="AF13" i="513"/>
  <c r="D11" i="526" l="1"/>
  <c r="AF14" i="513"/>
  <c r="H12" i="150"/>
  <c r="H13" i="150"/>
  <c r="H14" i="150"/>
  <c r="G13" i="150"/>
  <c r="G14" i="150"/>
  <c r="G12" i="150"/>
  <c r="D61" i="16"/>
  <c r="D62" i="16" s="1"/>
  <c r="D63" i="16" l="1"/>
  <c r="T18" i="14"/>
  <c r="T19" i="14"/>
  <c r="T20" i="14"/>
  <c r="T21" i="14"/>
  <c r="T22" i="14"/>
  <c r="T23" i="14"/>
  <c r="T17" i="14"/>
  <c r="H5" i="420"/>
  <c r="H6" i="420"/>
  <c r="H7" i="420"/>
  <c r="H8" i="420"/>
  <c r="H9" i="420"/>
  <c r="H10" i="420"/>
  <c r="H11" i="420"/>
  <c r="H12" i="420"/>
  <c r="H13" i="420"/>
  <c r="H14" i="420"/>
  <c r="H15" i="420"/>
  <c r="H16" i="420"/>
  <c r="H17" i="420"/>
  <c r="H18" i="420"/>
  <c r="H19" i="420"/>
  <c r="H20" i="420"/>
  <c r="H21" i="420"/>
  <c r="H22" i="420"/>
  <c r="H23" i="420"/>
  <c r="H24" i="420"/>
  <c r="H25" i="420"/>
  <c r="H26" i="420"/>
  <c r="H27" i="420"/>
  <c r="H4" i="420"/>
  <c r="D12" i="419" s="1"/>
  <c r="N14" i="569" l="1"/>
  <c r="N13" i="569"/>
  <c r="N12" i="569"/>
  <c r="N14" i="568"/>
  <c r="N13" i="568"/>
  <c r="N12" i="568"/>
  <c r="N35" i="567"/>
  <c r="N34" i="567"/>
  <c r="N33" i="567"/>
  <c r="N21" i="567"/>
  <c r="N20" i="567"/>
  <c r="N19" i="567"/>
  <c r="G14" i="569"/>
  <c r="G13" i="569"/>
  <c r="G12" i="569"/>
  <c r="D16" i="569" s="1"/>
  <c r="G14" i="568"/>
  <c r="G13" i="568"/>
  <c r="G12" i="568"/>
  <c r="D16" i="568" s="1"/>
  <c r="G35" i="567"/>
  <c r="G34" i="567"/>
  <c r="G33" i="567"/>
  <c r="D37" i="567" s="1"/>
  <c r="G21" i="567"/>
  <c r="G20" i="567"/>
  <c r="G19" i="567"/>
  <c r="D23" i="567" s="1"/>
  <c r="N14" i="562"/>
  <c r="N12" i="562"/>
  <c r="N13" i="562"/>
  <c r="G12" i="562"/>
  <c r="G14" i="562"/>
  <c r="G13" i="562"/>
  <c r="G71" i="16"/>
  <c r="E4" i="419"/>
  <c r="AA4" i="419"/>
  <c r="AA12" i="419" s="1"/>
  <c r="R4" i="419"/>
  <c r="R12" i="419" s="1"/>
  <c r="Z4" i="419"/>
  <c r="Z12" i="419" s="1"/>
  <c r="J4" i="419"/>
  <c r="J12" i="419" s="1"/>
  <c r="Y4" i="419"/>
  <c r="Y12" i="419" s="1"/>
  <c r="Q4" i="419"/>
  <c r="Q12" i="419" s="1"/>
  <c r="P4" i="419"/>
  <c r="P12" i="419" s="1"/>
  <c r="O4" i="419"/>
  <c r="O12" i="419" s="1"/>
  <c r="N4" i="419"/>
  <c r="N12" i="419" s="1"/>
  <c r="F12" i="419"/>
  <c r="L4" i="419"/>
  <c r="L12" i="419" s="1"/>
  <c r="M4" i="419"/>
  <c r="M12" i="419" s="1"/>
  <c r="T4" i="419"/>
  <c r="T12" i="419" s="1"/>
  <c r="S4" i="419"/>
  <c r="S12" i="419" s="1"/>
  <c r="K4" i="419"/>
  <c r="K12" i="419" s="1"/>
  <c r="X4" i="419"/>
  <c r="X12" i="419" s="1"/>
  <c r="H4" i="419"/>
  <c r="H12" i="419" s="1"/>
  <c r="W4" i="419"/>
  <c r="W12" i="419" s="1"/>
  <c r="G4" i="419"/>
  <c r="G12" i="419" s="1"/>
  <c r="U4" i="419"/>
  <c r="U12" i="419" s="1"/>
  <c r="I4" i="419"/>
  <c r="I12" i="419" s="1"/>
  <c r="V4" i="419"/>
  <c r="V12" i="419" s="1"/>
  <c r="D16" i="562" l="1"/>
  <c r="AB5" i="419"/>
  <c r="E12" i="419"/>
  <c r="AB8" i="419"/>
  <c r="E7" i="526" s="1"/>
  <c r="AB11" i="419"/>
  <c r="E10" i="526" s="1"/>
  <c r="F10" i="526" s="1"/>
  <c r="AB6" i="419"/>
  <c r="E5" i="526" s="1"/>
  <c r="F5" i="526" s="1"/>
  <c r="AB9" i="419"/>
  <c r="E8" i="526" s="1"/>
  <c r="F8" i="526" s="1"/>
  <c r="AB7" i="419"/>
  <c r="E6" i="526" s="1"/>
  <c r="F6" i="526" s="1"/>
  <c r="AB10" i="419"/>
  <c r="E9" i="526" s="1"/>
  <c r="F9" i="526" s="1"/>
  <c r="S16" i="14"/>
  <c r="E11" i="526" l="1"/>
  <c r="F7" i="526"/>
  <c r="F11" i="526" s="1"/>
  <c r="AB12" i="419"/>
  <c r="G72" i="16"/>
  <c r="G73" i="16"/>
  <c r="N71" i="16"/>
  <c r="N72" i="16"/>
  <c r="N73" i="16"/>
  <c r="D26" i="16"/>
  <c r="H86" i="16" l="1"/>
  <c r="G89" i="16"/>
  <c r="G88" i="16"/>
  <c r="G87" i="16"/>
  <c r="G86" i="16"/>
  <c r="J86" i="16"/>
  <c r="J100" i="16" s="1"/>
  <c r="C27" i="13" s="1"/>
  <c r="J87" i="16"/>
  <c r="J101" i="16" s="1"/>
  <c r="C28" i="13" s="1"/>
  <c r="J88" i="16"/>
  <c r="J102" i="16" s="1"/>
  <c r="C29" i="13" s="1"/>
  <c r="J89" i="16"/>
  <c r="K99" i="16" s="1"/>
  <c r="J90" i="16"/>
  <c r="K100" i="16" s="1"/>
  <c r="D45" i="14" s="1"/>
  <c r="D39" i="14" s="1"/>
  <c r="J91" i="16"/>
  <c r="K101" i="16" s="1"/>
  <c r="J92" i="16"/>
  <c r="K102" i="16" s="1"/>
  <c r="J93" i="16"/>
  <c r="L99" i="16" s="1"/>
  <c r="C32" i="13" s="1"/>
  <c r="J94" i="16"/>
  <c r="M99" i="16" s="1"/>
  <c r="D32" i="13" s="1"/>
  <c r="J95" i="16"/>
  <c r="N99" i="16" s="1"/>
  <c r="J96" i="16"/>
  <c r="O99" i="16" s="1"/>
  <c r="J85" i="16"/>
  <c r="J99" i="16" s="1"/>
  <c r="C26" i="13" s="1"/>
  <c r="E50" i="14"/>
  <c r="E51" i="14" s="1"/>
  <c r="E52" i="14" s="1"/>
  <c r="E53" i="14" s="1"/>
  <c r="F50" i="14"/>
  <c r="F51" i="14" s="1"/>
  <c r="F52" i="14" s="1"/>
  <c r="F53" i="14" s="1"/>
  <c r="D46" i="14"/>
  <c r="D40" i="14" s="1"/>
  <c r="H44" i="14"/>
  <c r="H45" i="14" s="1"/>
  <c r="H46" i="14" s="1"/>
  <c r="H47" i="14" s="1"/>
  <c r="G44" i="14"/>
  <c r="G45" i="14" s="1"/>
  <c r="G46" i="14" s="1"/>
  <c r="G47" i="14" s="1"/>
  <c r="F44" i="14"/>
  <c r="F45" i="14" s="1"/>
  <c r="F46" i="14" s="1"/>
  <c r="F47" i="14" s="1"/>
  <c r="E44" i="14"/>
  <c r="E45" i="14" s="1"/>
  <c r="E46" i="14" s="1"/>
  <c r="E47" i="14" s="1"/>
  <c r="D44" i="14"/>
  <c r="D38" i="14" s="1"/>
  <c r="C50" i="14" l="1"/>
  <c r="D50" i="14"/>
  <c r="D47" i="14"/>
  <c r="D41" i="14" s="1"/>
  <c r="C47" i="14"/>
  <c r="C41" i="14" s="1"/>
  <c r="P8" i="564" s="1"/>
  <c r="P9" i="564" s="1"/>
  <c r="P10" i="564" s="1"/>
  <c r="P11" i="564" s="1"/>
  <c r="P12" i="564" s="1"/>
  <c r="P13" i="564" s="1"/>
  <c r="C46" i="14"/>
  <c r="C40" i="14" s="1"/>
  <c r="N8" i="564" s="1"/>
  <c r="N9" i="564" s="1"/>
  <c r="N10" i="564" s="1"/>
  <c r="N11" i="564" s="1"/>
  <c r="N12" i="564" s="1"/>
  <c r="N13" i="564" s="1"/>
  <c r="C44" i="14"/>
  <c r="C38" i="14" s="1"/>
  <c r="O8" i="564" s="1"/>
  <c r="O9" i="564" s="1"/>
  <c r="O10" i="564" s="1"/>
  <c r="O11" i="564" s="1"/>
  <c r="O12" i="564" s="1"/>
  <c r="O13" i="564" s="1"/>
  <c r="C45" i="14"/>
  <c r="C39" i="14" s="1"/>
  <c r="M8" i="564" s="1"/>
  <c r="H41" i="14"/>
  <c r="G41" i="14"/>
  <c r="H39" i="14"/>
  <c r="G39" i="14"/>
  <c r="G40" i="14"/>
  <c r="H38" i="14"/>
  <c r="G38" i="14"/>
  <c r="H40" i="14"/>
  <c r="Q8" i="564" l="1"/>
  <c r="M9" i="564"/>
  <c r="D51" i="14"/>
  <c r="F38" i="14"/>
  <c r="C51" i="14"/>
  <c r="E38" i="14"/>
  <c r="C7" i="13"/>
  <c r="Q9" i="564" l="1"/>
  <c r="M10" i="564"/>
  <c r="D52" i="14"/>
  <c r="F39" i="14"/>
  <c r="C52" i="14"/>
  <c r="E39" i="14"/>
  <c r="AW21" i="335"/>
  <c r="AU21" i="335"/>
  <c r="AT21" i="335"/>
  <c r="AQ21" i="335"/>
  <c r="AF21" i="335"/>
  <c r="AE21" i="335"/>
  <c r="AC21" i="335"/>
  <c r="AX20" i="335"/>
  <c r="AW20" i="335"/>
  <c r="AU20" i="335"/>
  <c r="AT20" i="335"/>
  <c r="AQ20" i="335"/>
  <c r="AG20" i="335"/>
  <c r="AF20" i="335"/>
  <c r="AE20" i="335"/>
  <c r="AC20" i="335"/>
  <c r="V20" i="335"/>
  <c r="U20" i="335"/>
  <c r="S20" i="335"/>
  <c r="P20" i="335"/>
  <c r="W19" i="335"/>
  <c r="V19" i="335"/>
  <c r="U19" i="335"/>
  <c r="S19" i="335"/>
  <c r="P19" i="335"/>
  <c r="X18" i="335"/>
  <c r="AY13" i="335"/>
  <c r="AX13" i="335"/>
  <c r="AW13" i="335"/>
  <c r="AV13" i="335"/>
  <c r="AU13" i="335"/>
  <c r="AL13" i="335"/>
  <c r="AK13" i="335"/>
  <c r="AJ13" i="335"/>
  <c r="AI13" i="335"/>
  <c r="AH13" i="335"/>
  <c r="Y13" i="335"/>
  <c r="X13" i="335"/>
  <c r="W13" i="335"/>
  <c r="V13" i="335"/>
  <c r="U13" i="335"/>
  <c r="K13" i="335"/>
  <c r="J13" i="335"/>
  <c r="I13" i="335"/>
  <c r="H13" i="335"/>
  <c r="G13" i="335"/>
  <c r="AY12" i="335"/>
  <c r="AX12" i="335"/>
  <c r="AW12" i="335"/>
  <c r="AV12" i="335"/>
  <c r="AU12" i="335"/>
  <c r="AL12" i="335"/>
  <c r="AK12" i="335"/>
  <c r="AJ12" i="335"/>
  <c r="AI12" i="335"/>
  <c r="AH12" i="335"/>
  <c r="Y12" i="335"/>
  <c r="X12" i="335"/>
  <c r="W12" i="335"/>
  <c r="V12" i="335"/>
  <c r="U12" i="335"/>
  <c r="K12" i="335"/>
  <c r="J12" i="335"/>
  <c r="I12" i="335"/>
  <c r="H12" i="335"/>
  <c r="G12" i="335"/>
  <c r="AY11" i="335"/>
  <c r="AX11" i="335"/>
  <c r="AW11" i="335"/>
  <c r="AV11" i="335"/>
  <c r="AU11" i="335"/>
  <c r="AL11" i="335"/>
  <c r="AK11" i="335"/>
  <c r="AJ11" i="335"/>
  <c r="AI11" i="335"/>
  <c r="AH11" i="335"/>
  <c r="Y11" i="335"/>
  <c r="X11" i="335"/>
  <c r="W11" i="335"/>
  <c r="V11" i="335"/>
  <c r="U11" i="335"/>
  <c r="K11" i="335"/>
  <c r="J11" i="335"/>
  <c r="I11" i="335"/>
  <c r="H11" i="335"/>
  <c r="G11" i="335"/>
  <c r="AY10" i="335"/>
  <c r="AX10" i="335"/>
  <c r="AW10" i="335"/>
  <c r="AV10" i="335"/>
  <c r="AU10" i="335"/>
  <c r="AL10" i="335"/>
  <c r="AK10" i="335"/>
  <c r="AJ10" i="335"/>
  <c r="AI10" i="335"/>
  <c r="AH10" i="335"/>
  <c r="Y10" i="335"/>
  <c r="X10" i="335"/>
  <c r="W10" i="335"/>
  <c r="V10" i="335"/>
  <c r="U10" i="335"/>
  <c r="K10" i="335"/>
  <c r="J10" i="335"/>
  <c r="I10" i="335"/>
  <c r="H10" i="335"/>
  <c r="G10" i="335"/>
  <c r="AY9" i="335"/>
  <c r="AX9" i="335"/>
  <c r="AW9" i="335"/>
  <c r="AV9" i="335"/>
  <c r="AU9" i="335"/>
  <c r="AL9" i="335"/>
  <c r="AK9" i="335"/>
  <c r="AJ9" i="335"/>
  <c r="AI9" i="335"/>
  <c r="AH9" i="335"/>
  <c r="Y9" i="335"/>
  <c r="X9" i="335"/>
  <c r="W9" i="335"/>
  <c r="V9" i="335"/>
  <c r="U9" i="335"/>
  <c r="K9" i="335"/>
  <c r="J9" i="335"/>
  <c r="I9" i="335"/>
  <c r="H9" i="335"/>
  <c r="G9" i="335"/>
  <c r="AW5" i="335"/>
  <c r="AZ8" i="335" s="1"/>
  <c r="AS5" i="335"/>
  <c r="AJ5" i="335"/>
  <c r="AM8" i="335" s="1"/>
  <c r="AF5" i="335"/>
  <c r="W5" i="335"/>
  <c r="Z8" i="335" s="1"/>
  <c r="S5" i="335"/>
  <c r="I5" i="335"/>
  <c r="L8" i="335" s="1"/>
  <c r="E5" i="335"/>
  <c r="AR1" i="335"/>
  <c r="P1" i="335"/>
  <c r="M11" i="564" l="1"/>
  <c r="Q10" i="564"/>
  <c r="D53" i="14"/>
  <c r="F41" i="14" s="1"/>
  <c r="F40" i="14"/>
  <c r="AZ12" i="335"/>
  <c r="Z11" i="335"/>
  <c r="C53" i="14"/>
  <c r="E41" i="14" s="1"/>
  <c r="E40" i="14"/>
  <c r="AH20" i="335"/>
  <c r="AZ13" i="335"/>
  <c r="AM10" i="335"/>
  <c r="AZ10" i="335"/>
  <c r="X19" i="335"/>
  <c r="AZ9" i="335"/>
  <c r="AZ11" i="335"/>
  <c r="Z10" i="335"/>
  <c r="AM9" i="335"/>
  <c r="L11" i="335"/>
  <c r="AM11" i="335"/>
  <c r="Z12" i="335"/>
  <c r="Z9" i="335"/>
  <c r="L13" i="335"/>
  <c r="L10" i="335"/>
  <c r="AM13" i="335"/>
  <c r="L12" i="335"/>
  <c r="AY20" i="335"/>
  <c r="L9" i="335"/>
  <c r="AM12" i="335"/>
  <c r="Z13" i="335"/>
  <c r="C6" i="13"/>
  <c r="A39" i="14"/>
  <c r="E8" i="566" s="1"/>
  <c r="F8" i="566" s="1"/>
  <c r="A38" i="14"/>
  <c r="E8" i="565" s="1"/>
  <c r="F8" i="565" s="1"/>
  <c r="M12" i="564" l="1"/>
  <c r="Q11" i="564"/>
  <c r="L8" i="16"/>
  <c r="L9" i="16"/>
  <c r="M13" i="564" l="1"/>
  <c r="Q13" i="564" s="1"/>
  <c r="Q12" i="564"/>
  <c r="J49" i="16"/>
  <c r="J40" i="16"/>
  <c r="J13" i="16"/>
  <c r="J4" i="16"/>
  <c r="E2" i="150" l="1"/>
  <c r="D77" i="16" l="1"/>
  <c r="D78" i="16" s="1"/>
  <c r="D75" i="16" l="1"/>
  <c r="B13" i="150" l="1"/>
  <c r="C13" i="150"/>
  <c r="D13" i="150"/>
  <c r="E13" i="150"/>
  <c r="F13" i="150"/>
  <c r="B14" i="150"/>
  <c r="C14" i="150"/>
  <c r="D14" i="150"/>
  <c r="E14" i="150"/>
  <c r="F14" i="150"/>
  <c r="C12" i="150"/>
  <c r="D12" i="150"/>
  <c r="E12" i="150"/>
  <c r="F12" i="150"/>
  <c r="B12" i="150"/>
  <c r="B11" i="150"/>
  <c r="C11" i="150"/>
  <c r="D11" i="150"/>
  <c r="E11" i="150"/>
  <c r="F11" i="150"/>
  <c r="F49" i="16" l="1"/>
  <c r="F40" i="16"/>
  <c r="F13" i="16"/>
  <c r="C53" i="16"/>
  <c r="C44" i="16"/>
  <c r="C35" i="16"/>
  <c r="C26" i="16"/>
  <c r="C17" i="16"/>
  <c r="C8" i="16"/>
  <c r="H54" i="16"/>
  <c r="N54" i="16" s="1"/>
  <c r="B54" i="16"/>
  <c r="C54" i="16" s="1"/>
  <c r="H53" i="16"/>
  <c r="N53" i="16" s="1"/>
  <c r="H45" i="16"/>
  <c r="N45" i="16" s="1"/>
  <c r="B45" i="16"/>
  <c r="C45" i="16" s="1"/>
  <c r="H44" i="16"/>
  <c r="N44" i="16" s="1"/>
  <c r="J18" i="16"/>
  <c r="B18" i="16"/>
  <c r="C18" i="16" s="1"/>
  <c r="J17" i="16"/>
  <c r="B9" i="16"/>
  <c r="C9" i="16" s="1"/>
  <c r="M17" i="16" l="1"/>
  <c r="M18" i="16" s="1"/>
  <c r="K17" i="16"/>
  <c r="L17" i="16"/>
  <c r="L18" i="16" s="1"/>
  <c r="N17" i="16"/>
  <c r="N18" i="16" s="1"/>
  <c r="E26" i="16"/>
  <c r="F26" i="16" s="1"/>
  <c r="E35" i="16"/>
  <c r="F35" i="16" s="1"/>
  <c r="I44" i="16"/>
  <c r="J44" i="16"/>
  <c r="J45" i="16" s="1"/>
  <c r="K44" i="16"/>
  <c r="K45" i="16" s="1"/>
  <c r="L44" i="16"/>
  <c r="L45" i="16" s="1"/>
  <c r="J53" i="16"/>
  <c r="J54" i="16" s="1"/>
  <c r="I53" i="16"/>
  <c r="L53" i="16"/>
  <c r="L54" i="16" s="1"/>
  <c r="K53" i="16"/>
  <c r="K54" i="16" s="1"/>
  <c r="M52" i="16"/>
  <c r="M43" i="16"/>
  <c r="Q7" i="16"/>
  <c r="O16" i="16"/>
  <c r="M44" i="16" l="1"/>
  <c r="M53" i="16"/>
  <c r="O17" i="16"/>
  <c r="I45" i="16"/>
  <c r="M45" i="16" s="1"/>
  <c r="K18" i="16"/>
  <c r="O18" i="16" s="1"/>
  <c r="O8" i="16"/>
  <c r="O9" i="16" s="1"/>
  <c r="M8" i="16"/>
  <c r="N8" i="16"/>
  <c r="N9" i="16" s="1"/>
  <c r="P8" i="16"/>
  <c r="P9" i="16" s="1"/>
  <c r="I54" i="16"/>
  <c r="M54" i="16" s="1"/>
  <c r="L10" i="12"/>
  <c r="C6" i="12"/>
  <c r="D13" i="12"/>
  <c r="Q8" i="16" l="1"/>
  <c r="M9" i="16"/>
  <c r="Q9" i="16" s="1"/>
  <c r="E13" i="12"/>
  <c r="F156" i="12" l="1"/>
  <c r="E156" i="12"/>
  <c r="D156" i="12"/>
  <c r="C156" i="12"/>
  <c r="B156" i="12"/>
  <c r="A156" i="12"/>
  <c r="F155" i="12"/>
  <c r="E155" i="12"/>
  <c r="D155" i="12"/>
  <c r="C155" i="12"/>
  <c r="B155" i="12"/>
  <c r="A155" i="12"/>
  <c r="F154" i="12"/>
  <c r="E154" i="12"/>
  <c r="D154" i="12"/>
  <c r="C154" i="12"/>
  <c r="B154" i="12"/>
  <c r="A154" i="12"/>
  <c r="F153" i="12"/>
  <c r="E153" i="12"/>
  <c r="D153" i="12"/>
  <c r="C153" i="12"/>
  <c r="B153" i="12"/>
  <c r="A153" i="12"/>
  <c r="F152" i="12"/>
  <c r="E152" i="12"/>
  <c r="D152" i="12"/>
  <c r="C152" i="12"/>
  <c r="B152" i="12"/>
  <c r="A152" i="12"/>
  <c r="GZ151" i="12"/>
  <c r="GY151" i="12"/>
  <c r="GX151" i="12"/>
  <c r="GW151" i="12"/>
  <c r="GV151" i="12"/>
  <c r="GU151" i="12"/>
  <c r="GT151" i="12"/>
  <c r="GS151" i="12"/>
  <c r="GR151" i="12"/>
  <c r="GR149" i="12" s="1"/>
  <c r="GQ151" i="12"/>
  <c r="GQ149" i="12" s="1"/>
  <c r="GP151" i="12"/>
  <c r="GO151" i="12"/>
  <c r="GO149" i="12" s="1"/>
  <c r="GN151" i="12"/>
  <c r="GN149" i="12" s="1"/>
  <c r="GM151" i="12"/>
  <c r="GL151" i="12"/>
  <c r="GK151" i="12"/>
  <c r="GK149" i="12" s="1"/>
  <c r="GJ151" i="12"/>
  <c r="GJ149" i="12" s="1"/>
  <c r="GI151" i="12"/>
  <c r="GI149" i="12" s="1"/>
  <c r="GH151" i="12"/>
  <c r="GH149" i="12" s="1"/>
  <c r="GG151" i="12"/>
  <c r="GF151" i="12"/>
  <c r="GF149" i="12" s="1"/>
  <c r="GE151" i="12"/>
  <c r="GE149" i="12" s="1"/>
  <c r="GD151" i="12"/>
  <c r="GD149" i="12" s="1"/>
  <c r="GC151" i="12"/>
  <c r="GC149" i="12" s="1"/>
  <c r="GB151" i="12"/>
  <c r="GB149" i="12" s="1"/>
  <c r="GA151" i="12"/>
  <c r="GA149" i="12" s="1"/>
  <c r="FZ151" i="12"/>
  <c r="FZ149" i="12" s="1"/>
  <c r="FY151" i="12"/>
  <c r="FX151" i="12"/>
  <c r="FX149" i="12" s="1"/>
  <c r="FW151" i="12"/>
  <c r="FW149" i="12" s="1"/>
  <c r="FV151" i="12"/>
  <c r="FV149" i="12" s="1"/>
  <c r="FU151" i="12"/>
  <c r="FU149" i="12" s="1"/>
  <c r="FT151" i="12"/>
  <c r="FT149" i="12" s="1"/>
  <c r="FS151" i="12"/>
  <c r="FS149" i="12" s="1"/>
  <c r="FR151" i="12"/>
  <c r="FR149" i="12" s="1"/>
  <c r="FQ151" i="12"/>
  <c r="FQ149" i="12" s="1"/>
  <c r="FP151" i="12"/>
  <c r="FO151" i="12"/>
  <c r="FO149" i="12" s="1"/>
  <c r="FN151" i="12"/>
  <c r="FN149" i="12" s="1"/>
  <c r="FM151" i="12"/>
  <c r="FM149" i="12" s="1"/>
  <c r="FL151" i="12"/>
  <c r="FL149" i="12" s="1"/>
  <c r="FK151" i="12"/>
  <c r="FK149" i="12" s="1"/>
  <c r="FJ151" i="12"/>
  <c r="FJ149" i="12" s="1"/>
  <c r="FI151" i="12"/>
  <c r="FH151" i="12"/>
  <c r="FH149" i="12" s="1"/>
  <c r="FG151" i="12"/>
  <c r="FG149" i="12" s="1"/>
  <c r="FF151" i="12"/>
  <c r="FF149" i="12" s="1"/>
  <c r="FE151" i="12"/>
  <c r="FE149" i="12" s="1"/>
  <c r="FD151" i="12"/>
  <c r="FD149" i="12" s="1"/>
  <c r="FC151" i="12"/>
  <c r="FC149" i="12" s="1"/>
  <c r="FB151" i="12"/>
  <c r="FB149" i="12" s="1"/>
  <c r="FA151" i="12"/>
  <c r="FA149" i="12" s="1"/>
  <c r="EZ151" i="12"/>
  <c r="EZ149" i="12" s="1"/>
  <c r="EY151" i="12"/>
  <c r="EY149" i="12" s="1"/>
  <c r="EX151" i="12"/>
  <c r="EW151" i="12"/>
  <c r="EW149" i="12" s="1"/>
  <c r="EV151" i="12"/>
  <c r="EV149" i="12" s="1"/>
  <c r="EU151" i="12"/>
  <c r="EU149" i="12" s="1"/>
  <c r="ET151" i="12"/>
  <c r="ET149" i="12" s="1"/>
  <c r="ES151" i="12"/>
  <c r="ES149" i="12" s="1"/>
  <c r="ER151" i="12"/>
  <c r="ER149" i="12" s="1"/>
  <c r="EQ151" i="12"/>
  <c r="EQ149" i="12" s="1"/>
  <c r="EP151" i="12"/>
  <c r="EP149" i="12" s="1"/>
  <c r="EO151" i="12"/>
  <c r="EO149" i="12" s="1"/>
  <c r="EN151" i="12"/>
  <c r="EN149" i="12" s="1"/>
  <c r="EM151" i="12"/>
  <c r="EM149" i="12" s="1"/>
  <c r="EL151" i="12"/>
  <c r="EL149" i="12" s="1"/>
  <c r="EK151" i="12"/>
  <c r="EK149" i="12" s="1"/>
  <c r="EJ151" i="12"/>
  <c r="EJ149" i="12" s="1"/>
  <c r="EI151" i="12"/>
  <c r="EI149" i="12" s="1"/>
  <c r="EH151" i="12"/>
  <c r="EG151" i="12"/>
  <c r="EG149" i="12" s="1"/>
  <c r="EF151" i="12"/>
  <c r="EF149" i="12" s="1"/>
  <c r="EE151" i="12"/>
  <c r="EE149" i="12" s="1"/>
  <c r="ED151" i="12"/>
  <c r="ED149" i="12" s="1"/>
  <c r="EC151" i="12"/>
  <c r="EC149" i="12" s="1"/>
  <c r="EB151" i="12"/>
  <c r="EB149" i="12" s="1"/>
  <c r="EA151" i="12"/>
  <c r="EA149" i="12" s="1"/>
  <c r="DZ151" i="12"/>
  <c r="DY151" i="12"/>
  <c r="DY149" i="12" s="1"/>
  <c r="DX151" i="12"/>
  <c r="DX149" i="12" s="1"/>
  <c r="DW151" i="12"/>
  <c r="DW149" i="12" s="1"/>
  <c r="DV151" i="12"/>
  <c r="DV149" i="12" s="1"/>
  <c r="DU151" i="12"/>
  <c r="DU149" i="12" s="1"/>
  <c r="DT151" i="12"/>
  <c r="DT149" i="12" s="1"/>
  <c r="DS151" i="12"/>
  <c r="DS149" i="12" s="1"/>
  <c r="DR151" i="12"/>
  <c r="DR149" i="12" s="1"/>
  <c r="DQ151" i="12"/>
  <c r="DQ149" i="12" s="1"/>
  <c r="DP151" i="12"/>
  <c r="DP149" i="12" s="1"/>
  <c r="DO151" i="12"/>
  <c r="DO149" i="12" s="1"/>
  <c r="DN151" i="12"/>
  <c r="DN149" i="12" s="1"/>
  <c r="DM151" i="12"/>
  <c r="DL151" i="12"/>
  <c r="DK151" i="12"/>
  <c r="DK149" i="12" s="1"/>
  <c r="DJ151" i="12"/>
  <c r="DJ149" i="12" s="1"/>
  <c r="DI151" i="12"/>
  <c r="DI149" i="12" s="1"/>
  <c r="DH151" i="12"/>
  <c r="DH149" i="12" s="1"/>
  <c r="DG151" i="12"/>
  <c r="DG149" i="12" s="1"/>
  <c r="DF151" i="12"/>
  <c r="DF149" i="12" s="1"/>
  <c r="DE151" i="12"/>
  <c r="DE149" i="12" s="1"/>
  <c r="DD151" i="12"/>
  <c r="DD149" i="12" s="1"/>
  <c r="DC151" i="12"/>
  <c r="DC149" i="12" s="1"/>
  <c r="DB151" i="12"/>
  <c r="DB149" i="12" s="1"/>
  <c r="DA151" i="12"/>
  <c r="DA149" i="12" s="1"/>
  <c r="CZ151" i="12"/>
  <c r="CZ149" i="12" s="1"/>
  <c r="CY151" i="12"/>
  <c r="CY149" i="12" s="1"/>
  <c r="CX151" i="12"/>
  <c r="CX149" i="12" s="1"/>
  <c r="CW151" i="12"/>
  <c r="CW149" i="12" s="1"/>
  <c r="CV151" i="12"/>
  <c r="CV149" i="12" s="1"/>
  <c r="CU151" i="12"/>
  <c r="CT151" i="12"/>
  <c r="CT149" i="12" s="1"/>
  <c r="CS151" i="12"/>
  <c r="CS149" i="12" s="1"/>
  <c r="CR151" i="12"/>
  <c r="CR149" i="12" s="1"/>
  <c r="CQ151" i="12"/>
  <c r="CQ149" i="12" s="1"/>
  <c r="CP151" i="12"/>
  <c r="CP149" i="12" s="1"/>
  <c r="CO151" i="12"/>
  <c r="CO149" i="12" s="1"/>
  <c r="CN151" i="12"/>
  <c r="CN149" i="12" s="1"/>
  <c r="CM151" i="12"/>
  <c r="CM149" i="12" s="1"/>
  <c r="CL151" i="12"/>
  <c r="CK151" i="12"/>
  <c r="CK149" i="12" s="1"/>
  <c r="CJ151" i="12"/>
  <c r="CJ149" i="12" s="1"/>
  <c r="CI151" i="12"/>
  <c r="CI149" i="12" s="1"/>
  <c r="CH151" i="12"/>
  <c r="CH149" i="12" s="1"/>
  <c r="CG151" i="12"/>
  <c r="CF151" i="12"/>
  <c r="CF149" i="12" s="1"/>
  <c r="CE151" i="12"/>
  <c r="CE149" i="12" s="1"/>
  <c r="CD151" i="12"/>
  <c r="CD149" i="12" s="1"/>
  <c r="CC151" i="12"/>
  <c r="CC149" i="12" s="1"/>
  <c r="CB151" i="12"/>
  <c r="CB149" i="12" s="1"/>
  <c r="CA151" i="12"/>
  <c r="CA149" i="12" s="1"/>
  <c r="BZ151" i="12"/>
  <c r="BZ149" i="12" s="1"/>
  <c r="BY151" i="12"/>
  <c r="BY149" i="12" s="1"/>
  <c r="BX151" i="12"/>
  <c r="BX149" i="12" s="1"/>
  <c r="BW151" i="12"/>
  <c r="BW149" i="12" s="1"/>
  <c r="BV151" i="12"/>
  <c r="BU151" i="12"/>
  <c r="BU149" i="12" s="1"/>
  <c r="BT151" i="12"/>
  <c r="BT149" i="12" s="1"/>
  <c r="BS151" i="12"/>
  <c r="BS149" i="12" s="1"/>
  <c r="BR151" i="12"/>
  <c r="BR149" i="12" s="1"/>
  <c r="BQ151" i="12"/>
  <c r="BQ149" i="12" s="1"/>
  <c r="BP151" i="12"/>
  <c r="BP149" i="12" s="1"/>
  <c r="BO151" i="12"/>
  <c r="BO149" i="12" s="1"/>
  <c r="BN151" i="12"/>
  <c r="BN149" i="12" s="1"/>
  <c r="BM151" i="12"/>
  <c r="BM149" i="12" s="1"/>
  <c r="BL151" i="12"/>
  <c r="BL149" i="12" s="1"/>
  <c r="BK151" i="12"/>
  <c r="BK149" i="12" s="1"/>
  <c r="BJ151" i="12"/>
  <c r="BJ149" i="12" s="1"/>
  <c r="BI151" i="12"/>
  <c r="BI149" i="12" s="1"/>
  <c r="BH151" i="12"/>
  <c r="BH149" i="12" s="1"/>
  <c r="BG151" i="12"/>
  <c r="BG149" i="12" s="1"/>
  <c r="BF151" i="12"/>
  <c r="BF149" i="12" s="1"/>
  <c r="BE151" i="12"/>
  <c r="BE149" i="12" s="1"/>
  <c r="BD151" i="12"/>
  <c r="BD149" i="12" s="1"/>
  <c r="BC151" i="12"/>
  <c r="BC149" i="12" s="1"/>
  <c r="BB151" i="12"/>
  <c r="BB149" i="12" s="1"/>
  <c r="BA151" i="12"/>
  <c r="BA149" i="12" s="1"/>
  <c r="AZ151" i="12"/>
  <c r="AZ149" i="12" s="1"/>
  <c r="AY151" i="12"/>
  <c r="AY149" i="12" s="1"/>
  <c r="AX151" i="12"/>
  <c r="AX149" i="12" s="1"/>
  <c r="AW151" i="12"/>
  <c r="AW149" i="12" s="1"/>
  <c r="AV151" i="12"/>
  <c r="AV149" i="12" s="1"/>
  <c r="AU151" i="12"/>
  <c r="AU149" i="12" s="1"/>
  <c r="AT151" i="12"/>
  <c r="AT149" i="12" s="1"/>
  <c r="AS151" i="12"/>
  <c r="AS149" i="12" s="1"/>
  <c r="AR151" i="12"/>
  <c r="AR149" i="12" s="1"/>
  <c r="AQ151" i="12"/>
  <c r="AQ149" i="12" s="1"/>
  <c r="AP151" i="12"/>
  <c r="AP149" i="12" s="1"/>
  <c r="AO151" i="12"/>
  <c r="AO149" i="12" s="1"/>
  <c r="AN151" i="12"/>
  <c r="AN149" i="12" s="1"/>
  <c r="AM151" i="12"/>
  <c r="AM149" i="12" s="1"/>
  <c r="AL151" i="12"/>
  <c r="AL149" i="12" s="1"/>
  <c r="AK151" i="12"/>
  <c r="AK149" i="12" s="1"/>
  <c r="AJ151" i="12"/>
  <c r="AJ149" i="12" s="1"/>
  <c r="AI151" i="12"/>
  <c r="AI149" i="12" s="1"/>
  <c r="AH151" i="12"/>
  <c r="AH149" i="12" s="1"/>
  <c r="AG151" i="12"/>
  <c r="AG149" i="12" s="1"/>
  <c r="AF151" i="12"/>
  <c r="AF149" i="12" s="1"/>
  <c r="AE151" i="12"/>
  <c r="AE149" i="12" s="1"/>
  <c r="AD151" i="12"/>
  <c r="AD149" i="12" s="1"/>
  <c r="AC151" i="12"/>
  <c r="AC149" i="12" s="1"/>
  <c r="AB151" i="12"/>
  <c r="AB149" i="12" s="1"/>
  <c r="AA151" i="12"/>
  <c r="AA149" i="12" s="1"/>
  <c r="Z151" i="12"/>
  <c r="Z149" i="12" s="1"/>
  <c r="Y151" i="12"/>
  <c r="Y149" i="12" s="1"/>
  <c r="X151" i="12"/>
  <c r="X149" i="12" s="1"/>
  <c r="W151" i="12"/>
  <c r="W149" i="12" s="1"/>
  <c r="V151" i="12"/>
  <c r="V149" i="12" s="1"/>
  <c r="U151" i="12"/>
  <c r="U149" i="12" s="1"/>
  <c r="T151" i="12"/>
  <c r="T149" i="12" s="1"/>
  <c r="S151" i="12"/>
  <c r="S149" i="12" s="1"/>
  <c r="R151" i="12"/>
  <c r="R149" i="12" s="1"/>
  <c r="Q151" i="12"/>
  <c r="Q149" i="12" s="1"/>
  <c r="P151" i="12"/>
  <c r="P149" i="12" s="1"/>
  <c r="O151" i="12"/>
  <c r="O149" i="12" s="1"/>
  <c r="N151" i="12"/>
  <c r="N149" i="12" s="1"/>
  <c r="M151" i="12"/>
  <c r="M149" i="12" s="1"/>
  <c r="GP149" i="12"/>
  <c r="GM149" i="12"/>
  <c r="GL149" i="12"/>
  <c r="GG149" i="12"/>
  <c r="FY149" i="12"/>
  <c r="FP149" i="12"/>
  <c r="FI149" i="12"/>
  <c r="EX149" i="12"/>
  <c r="EH149" i="12"/>
  <c r="DZ149" i="12"/>
  <c r="DM149" i="12"/>
  <c r="DL149" i="12"/>
  <c r="CU149" i="12"/>
  <c r="CL149" i="12"/>
  <c r="CG149" i="12"/>
  <c r="BV149" i="12"/>
  <c r="B149" i="12"/>
  <c r="F160" i="12" s="1"/>
  <c r="B148" i="12"/>
  <c r="B147" i="12"/>
  <c r="F126" i="12"/>
  <c r="E126" i="12"/>
  <c r="D126" i="12"/>
  <c r="C126" i="12"/>
  <c r="B126" i="12"/>
  <c r="A126" i="12"/>
  <c r="F125" i="12"/>
  <c r="E125" i="12"/>
  <c r="D125" i="12"/>
  <c r="C125" i="12"/>
  <c r="B125" i="12"/>
  <c r="A125" i="12"/>
  <c r="F124" i="12"/>
  <c r="E124" i="12"/>
  <c r="D124" i="12"/>
  <c r="C124" i="12"/>
  <c r="B124" i="12"/>
  <c r="A124" i="12"/>
  <c r="F123" i="12"/>
  <c r="E123" i="12"/>
  <c r="D123" i="12"/>
  <c r="C123" i="12"/>
  <c r="B123" i="12"/>
  <c r="A123" i="12"/>
  <c r="F122" i="12"/>
  <c r="E122" i="12"/>
  <c r="D122" i="12"/>
  <c r="C122" i="12"/>
  <c r="B122" i="12"/>
  <c r="A122" i="12"/>
  <c r="F121" i="12"/>
  <c r="E121" i="12"/>
  <c r="D121" i="12"/>
  <c r="C121" i="12"/>
  <c r="B121" i="12"/>
  <c r="A121" i="12"/>
  <c r="IC120" i="12"/>
  <c r="IB120" i="12"/>
  <c r="IA120" i="12"/>
  <c r="HZ120" i="12"/>
  <c r="HY120" i="12"/>
  <c r="HY118" i="12" s="1"/>
  <c r="HX120" i="12"/>
  <c r="HW120" i="12"/>
  <c r="HW118" i="12" s="1"/>
  <c r="HV120" i="12"/>
  <c r="HV118" i="12" s="1"/>
  <c r="HU120" i="12"/>
  <c r="HU118" i="12" s="1"/>
  <c r="HT120" i="12"/>
  <c r="HT118" i="12" s="1"/>
  <c r="HS120" i="12"/>
  <c r="HS118" i="12" s="1"/>
  <c r="HR120" i="12"/>
  <c r="HR118" i="12" s="1"/>
  <c r="HQ120" i="12"/>
  <c r="HQ118" i="12" s="1"/>
  <c r="HP120" i="12"/>
  <c r="HP118" i="12" s="1"/>
  <c r="HO120" i="12"/>
  <c r="HO118" i="12" s="1"/>
  <c r="HN120" i="12"/>
  <c r="HN118" i="12" s="1"/>
  <c r="HM120" i="12"/>
  <c r="HM118" i="12" s="1"/>
  <c r="HL120" i="12"/>
  <c r="HL118" i="12" s="1"/>
  <c r="HK120" i="12"/>
  <c r="HK118" i="12" s="1"/>
  <c r="HJ120" i="12"/>
  <c r="HJ118" i="12" s="1"/>
  <c r="HI120" i="12"/>
  <c r="HI118" i="12" s="1"/>
  <c r="HH120" i="12"/>
  <c r="HH118" i="12" s="1"/>
  <c r="HG120" i="12"/>
  <c r="HG118" i="12" s="1"/>
  <c r="HF120" i="12"/>
  <c r="HF118" i="12" s="1"/>
  <c r="HE120" i="12"/>
  <c r="HE118" i="12" s="1"/>
  <c r="HD120" i="12"/>
  <c r="HD118" i="12" s="1"/>
  <c r="HC120" i="12"/>
  <c r="HC118" i="12" s="1"/>
  <c r="HB120" i="12"/>
  <c r="HB118" i="12" s="1"/>
  <c r="HA120" i="12"/>
  <c r="HA118" i="12" s="1"/>
  <c r="GZ120" i="12"/>
  <c r="GZ118" i="12" s="1"/>
  <c r="GY120" i="12"/>
  <c r="GY118" i="12" s="1"/>
  <c r="GX120" i="12"/>
  <c r="GX118" i="12" s="1"/>
  <c r="GW120" i="12"/>
  <c r="GW118" i="12" s="1"/>
  <c r="GV120" i="12"/>
  <c r="GV118" i="12" s="1"/>
  <c r="GU120" i="12"/>
  <c r="GU118" i="12" s="1"/>
  <c r="GT120" i="12"/>
  <c r="GT118" i="12" s="1"/>
  <c r="GS120" i="12"/>
  <c r="GS118" i="12" s="1"/>
  <c r="GR120" i="12"/>
  <c r="GQ120" i="12"/>
  <c r="GQ118" i="12" s="1"/>
  <c r="GP120" i="12"/>
  <c r="GP118" i="12" s="1"/>
  <c r="GO120" i="12"/>
  <c r="GO118" i="12" s="1"/>
  <c r="GN120" i="12"/>
  <c r="GN118" i="12" s="1"/>
  <c r="GM120" i="12"/>
  <c r="GM118" i="12" s="1"/>
  <c r="GL120" i="12"/>
  <c r="GL118" i="12" s="1"/>
  <c r="GK120" i="12"/>
  <c r="GK118" i="12" s="1"/>
  <c r="GJ120" i="12"/>
  <c r="GJ118" i="12" s="1"/>
  <c r="GI120" i="12"/>
  <c r="GI118" i="12" s="1"/>
  <c r="GH120" i="12"/>
  <c r="GH118" i="12" s="1"/>
  <c r="GG120" i="12"/>
  <c r="GG118" i="12" s="1"/>
  <c r="GF120" i="12"/>
  <c r="GF118" i="12" s="1"/>
  <c r="GE120" i="12"/>
  <c r="GE118" i="12" s="1"/>
  <c r="GD120" i="12"/>
  <c r="GD118" i="12" s="1"/>
  <c r="GC120" i="12"/>
  <c r="GC118" i="12" s="1"/>
  <c r="GB120" i="12"/>
  <c r="GB118" i="12" s="1"/>
  <c r="GA120" i="12"/>
  <c r="GA118" i="12" s="1"/>
  <c r="FZ120" i="12"/>
  <c r="FZ118" i="12" s="1"/>
  <c r="FY120" i="12"/>
  <c r="FY118" i="12" s="1"/>
  <c r="FX120" i="12"/>
  <c r="FX118" i="12" s="1"/>
  <c r="FW120" i="12"/>
  <c r="FW118" i="12" s="1"/>
  <c r="FV120" i="12"/>
  <c r="FV118" i="12" s="1"/>
  <c r="FU120" i="12"/>
  <c r="FU118" i="12" s="1"/>
  <c r="FT120" i="12"/>
  <c r="FT118" i="12" s="1"/>
  <c r="FS120" i="12"/>
  <c r="FS118" i="12" s="1"/>
  <c r="FR120" i="12"/>
  <c r="FR118" i="12" s="1"/>
  <c r="FQ120" i="12"/>
  <c r="FQ118" i="12" s="1"/>
  <c r="FP120" i="12"/>
  <c r="FP118" i="12" s="1"/>
  <c r="FO120" i="12"/>
  <c r="FN120" i="12"/>
  <c r="FN118" i="12" s="1"/>
  <c r="FM120" i="12"/>
  <c r="FM118" i="12" s="1"/>
  <c r="FL120" i="12"/>
  <c r="FL118" i="12" s="1"/>
  <c r="FK120" i="12"/>
  <c r="FK118" i="12" s="1"/>
  <c r="FJ120" i="12"/>
  <c r="FJ118" i="12" s="1"/>
  <c r="FI120" i="12"/>
  <c r="FI118" i="12" s="1"/>
  <c r="FH120" i="12"/>
  <c r="FH118" i="12" s="1"/>
  <c r="FG120" i="12"/>
  <c r="FG118" i="12" s="1"/>
  <c r="FF120" i="12"/>
  <c r="FF118" i="12" s="1"/>
  <c r="FE120" i="12"/>
  <c r="FE118" i="12" s="1"/>
  <c r="FD120" i="12"/>
  <c r="FD118" i="12" s="1"/>
  <c r="FC120" i="12"/>
  <c r="FC118" i="12" s="1"/>
  <c r="FB120" i="12"/>
  <c r="FB118" i="12" s="1"/>
  <c r="FA120" i="12"/>
  <c r="FA118" i="12" s="1"/>
  <c r="EZ120" i="12"/>
  <c r="EZ118" i="12" s="1"/>
  <c r="EY120" i="12"/>
  <c r="EY118" i="12" s="1"/>
  <c r="EX120" i="12"/>
  <c r="EX118" i="12" s="1"/>
  <c r="EW120" i="12"/>
  <c r="EW118" i="12" s="1"/>
  <c r="EV120" i="12"/>
  <c r="EV118" i="12" s="1"/>
  <c r="EU120" i="12"/>
  <c r="EU118" i="12" s="1"/>
  <c r="ET120" i="12"/>
  <c r="ET118" i="12" s="1"/>
  <c r="ES120" i="12"/>
  <c r="ES118" i="12" s="1"/>
  <c r="ER120" i="12"/>
  <c r="ER118" i="12" s="1"/>
  <c r="EQ120" i="12"/>
  <c r="EQ118" i="12" s="1"/>
  <c r="EP120" i="12"/>
  <c r="EP118" i="12" s="1"/>
  <c r="EO120" i="12"/>
  <c r="EO118" i="12" s="1"/>
  <c r="EN120" i="12"/>
  <c r="EN118" i="12" s="1"/>
  <c r="EM120" i="12"/>
  <c r="EM118" i="12" s="1"/>
  <c r="EL120" i="12"/>
  <c r="EL118" i="12" s="1"/>
  <c r="EK120" i="12"/>
  <c r="EK118" i="12" s="1"/>
  <c r="EJ120" i="12"/>
  <c r="EJ118" i="12" s="1"/>
  <c r="EI120" i="12"/>
  <c r="EI118" i="12" s="1"/>
  <c r="EH120" i="12"/>
  <c r="EH118" i="12" s="1"/>
  <c r="EG120" i="12"/>
  <c r="EG118" i="12" s="1"/>
  <c r="EF120" i="12"/>
  <c r="EF118" i="12" s="1"/>
  <c r="EE120" i="12"/>
  <c r="EE118" i="12" s="1"/>
  <c r="ED120" i="12"/>
  <c r="ED118" i="12" s="1"/>
  <c r="EC120" i="12"/>
  <c r="EC118" i="12" s="1"/>
  <c r="EB120" i="12"/>
  <c r="EB118" i="12" s="1"/>
  <c r="EA120" i="12"/>
  <c r="EA118" i="12" s="1"/>
  <c r="DZ120" i="12"/>
  <c r="DZ118" i="12" s="1"/>
  <c r="DY120" i="12"/>
  <c r="DY118" i="12" s="1"/>
  <c r="DX120" i="12"/>
  <c r="DX118" i="12" s="1"/>
  <c r="DW120" i="12"/>
  <c r="DW118" i="12" s="1"/>
  <c r="DV120" i="12"/>
  <c r="DV118" i="12" s="1"/>
  <c r="DU120" i="12"/>
  <c r="DU118" i="12" s="1"/>
  <c r="DT120" i="12"/>
  <c r="DT118" i="12" s="1"/>
  <c r="DS120" i="12"/>
  <c r="DS118" i="12" s="1"/>
  <c r="DR120" i="12"/>
  <c r="DR118" i="12" s="1"/>
  <c r="DQ120" i="12"/>
  <c r="DQ118" i="12" s="1"/>
  <c r="DP120" i="12"/>
  <c r="DP118" i="12" s="1"/>
  <c r="DO120" i="12"/>
  <c r="DO118" i="12" s="1"/>
  <c r="DN120" i="12"/>
  <c r="DN118" i="12" s="1"/>
  <c r="DM120" i="12"/>
  <c r="DM118" i="12" s="1"/>
  <c r="DL120" i="12"/>
  <c r="DL118" i="12" s="1"/>
  <c r="DK120" i="12"/>
  <c r="DK118" i="12" s="1"/>
  <c r="DJ120" i="12"/>
  <c r="DJ118" i="12" s="1"/>
  <c r="DI120" i="12"/>
  <c r="DI118" i="12" s="1"/>
  <c r="DH120" i="12"/>
  <c r="DH118" i="12" s="1"/>
  <c r="DG120" i="12"/>
  <c r="DG118" i="12" s="1"/>
  <c r="DF120" i="12"/>
  <c r="DF118" i="12" s="1"/>
  <c r="DE120" i="12"/>
  <c r="DE118" i="12" s="1"/>
  <c r="DD120" i="12"/>
  <c r="DD118" i="12" s="1"/>
  <c r="DC120" i="12"/>
  <c r="DC118" i="12" s="1"/>
  <c r="DB120" i="12"/>
  <c r="DB118" i="12" s="1"/>
  <c r="DA120" i="12"/>
  <c r="DA118" i="12" s="1"/>
  <c r="CZ120" i="12"/>
  <c r="CZ118" i="12" s="1"/>
  <c r="CY120" i="12"/>
  <c r="CY118" i="12" s="1"/>
  <c r="CX120" i="12"/>
  <c r="CX118" i="12" s="1"/>
  <c r="CW120" i="12"/>
  <c r="CW118" i="12" s="1"/>
  <c r="CV120" i="12"/>
  <c r="CV118" i="12" s="1"/>
  <c r="CU120" i="12"/>
  <c r="CU118" i="12" s="1"/>
  <c r="CT120" i="12"/>
  <c r="CT118" i="12" s="1"/>
  <c r="CS120" i="12"/>
  <c r="CS118" i="12" s="1"/>
  <c r="CR120" i="12"/>
  <c r="CR118" i="12" s="1"/>
  <c r="CQ120" i="12"/>
  <c r="CQ118" i="12" s="1"/>
  <c r="CP120" i="12"/>
  <c r="CP118" i="12" s="1"/>
  <c r="CO120" i="12"/>
  <c r="CO118" i="12" s="1"/>
  <c r="CN120" i="12"/>
  <c r="CN118" i="12" s="1"/>
  <c r="CM120" i="12"/>
  <c r="CM118" i="12" s="1"/>
  <c r="CL120" i="12"/>
  <c r="CL118" i="12" s="1"/>
  <c r="CK120" i="12"/>
  <c r="CK118" i="12" s="1"/>
  <c r="CJ120" i="12"/>
  <c r="CJ118" i="12" s="1"/>
  <c r="CI120" i="12"/>
  <c r="CI118" i="12" s="1"/>
  <c r="CH120" i="12"/>
  <c r="CH118" i="12" s="1"/>
  <c r="CG120" i="12"/>
  <c r="CG118" i="12" s="1"/>
  <c r="CF120" i="12"/>
  <c r="CF118" i="12" s="1"/>
  <c r="CE120" i="12"/>
  <c r="CE118" i="12" s="1"/>
  <c r="CD120" i="12"/>
  <c r="CD118" i="12" s="1"/>
  <c r="CC120" i="12"/>
  <c r="CC118" i="12" s="1"/>
  <c r="CB120" i="12"/>
  <c r="CB118" i="12" s="1"/>
  <c r="CA120" i="12"/>
  <c r="CA118" i="12" s="1"/>
  <c r="BZ120" i="12"/>
  <c r="BZ118" i="12" s="1"/>
  <c r="BY120" i="12"/>
  <c r="BY118" i="12" s="1"/>
  <c r="BX120" i="12"/>
  <c r="BX118" i="12" s="1"/>
  <c r="BW120" i="12"/>
  <c r="BW118" i="12" s="1"/>
  <c r="BV120" i="12"/>
  <c r="BV118" i="12" s="1"/>
  <c r="BU120" i="12"/>
  <c r="BU118" i="12" s="1"/>
  <c r="BT120" i="12"/>
  <c r="BT118" i="12" s="1"/>
  <c r="BS120" i="12"/>
  <c r="BS118" i="12" s="1"/>
  <c r="BR120" i="12"/>
  <c r="BR118" i="12" s="1"/>
  <c r="BQ120" i="12"/>
  <c r="BQ118" i="12" s="1"/>
  <c r="BP120" i="12"/>
  <c r="BP118" i="12" s="1"/>
  <c r="BO120" i="12"/>
  <c r="BO118" i="12" s="1"/>
  <c r="BN120" i="12"/>
  <c r="BN118" i="12" s="1"/>
  <c r="BM120" i="12"/>
  <c r="BM118" i="12" s="1"/>
  <c r="BL120" i="12"/>
  <c r="BL118" i="12" s="1"/>
  <c r="BK120" i="12"/>
  <c r="BK118" i="12" s="1"/>
  <c r="BJ120" i="12"/>
  <c r="BJ118" i="12" s="1"/>
  <c r="BI120" i="12"/>
  <c r="BI118" i="12" s="1"/>
  <c r="BH120" i="12"/>
  <c r="BH118" i="12" s="1"/>
  <c r="BG120" i="12"/>
  <c r="BG118" i="12" s="1"/>
  <c r="BF120" i="12"/>
  <c r="BF118" i="12" s="1"/>
  <c r="BE120" i="12"/>
  <c r="BE118" i="12" s="1"/>
  <c r="BD120" i="12"/>
  <c r="BD118" i="12" s="1"/>
  <c r="BC120" i="12"/>
  <c r="BC118" i="12" s="1"/>
  <c r="BB120" i="12"/>
  <c r="BB118" i="12" s="1"/>
  <c r="BA120" i="12"/>
  <c r="BA118" i="12" s="1"/>
  <c r="AZ120" i="12"/>
  <c r="AZ118" i="12" s="1"/>
  <c r="AY120" i="12"/>
  <c r="AY118" i="12" s="1"/>
  <c r="AX120" i="12"/>
  <c r="AX118" i="12" s="1"/>
  <c r="AW120" i="12"/>
  <c r="AW118" i="12" s="1"/>
  <c r="AV120" i="12"/>
  <c r="AV118" i="12" s="1"/>
  <c r="AU120" i="12"/>
  <c r="AU118" i="12" s="1"/>
  <c r="AT120" i="12"/>
  <c r="AT118" i="12" s="1"/>
  <c r="AS120" i="12"/>
  <c r="AS118" i="12" s="1"/>
  <c r="AR120" i="12"/>
  <c r="AR118" i="12" s="1"/>
  <c r="AQ120" i="12"/>
  <c r="AQ118" i="12" s="1"/>
  <c r="AP120" i="12"/>
  <c r="AP118" i="12" s="1"/>
  <c r="AO120" i="12"/>
  <c r="AO118" i="12" s="1"/>
  <c r="AN120" i="12"/>
  <c r="AN118" i="12" s="1"/>
  <c r="AM120" i="12"/>
  <c r="AM118" i="12" s="1"/>
  <c r="AL120" i="12"/>
  <c r="AL118" i="12" s="1"/>
  <c r="AK120" i="12"/>
  <c r="AK118" i="12" s="1"/>
  <c r="AJ120" i="12"/>
  <c r="AJ118" i="12" s="1"/>
  <c r="AI120" i="12"/>
  <c r="AI118" i="12" s="1"/>
  <c r="AH120" i="12"/>
  <c r="AH118" i="12" s="1"/>
  <c r="AG120" i="12"/>
  <c r="AG118" i="12" s="1"/>
  <c r="AF120" i="12"/>
  <c r="AF118" i="12" s="1"/>
  <c r="AE120" i="12"/>
  <c r="AE118" i="12" s="1"/>
  <c r="AD120" i="12"/>
  <c r="AD118" i="12" s="1"/>
  <c r="AC120" i="12"/>
  <c r="AC118" i="12" s="1"/>
  <c r="AB120" i="12"/>
  <c r="AB118" i="12" s="1"/>
  <c r="AA120" i="12"/>
  <c r="AA118" i="12" s="1"/>
  <c r="Z120" i="12"/>
  <c r="Z118" i="12" s="1"/>
  <c r="Y120" i="12"/>
  <c r="Y118" i="12" s="1"/>
  <c r="X120" i="12"/>
  <c r="X118" i="12" s="1"/>
  <c r="W120" i="12"/>
  <c r="W118" i="12" s="1"/>
  <c r="V120" i="12"/>
  <c r="V118" i="12" s="1"/>
  <c r="U120" i="12"/>
  <c r="U118" i="12" s="1"/>
  <c r="T120" i="12"/>
  <c r="T118" i="12" s="1"/>
  <c r="S120" i="12"/>
  <c r="S118" i="12" s="1"/>
  <c r="R120" i="12"/>
  <c r="R118" i="12" s="1"/>
  <c r="Q120" i="12"/>
  <c r="Q118" i="12" s="1"/>
  <c r="P120" i="12"/>
  <c r="P118" i="12" s="1"/>
  <c r="O120" i="12"/>
  <c r="O118" i="12" s="1"/>
  <c r="N120" i="12"/>
  <c r="N118" i="12" s="1"/>
  <c r="M120" i="12"/>
  <c r="M118" i="12" s="1"/>
  <c r="HX118" i="12"/>
  <c r="GR118" i="12"/>
  <c r="FO118" i="12"/>
  <c r="B118" i="12"/>
  <c r="F129" i="12" s="1"/>
  <c r="B117" i="12"/>
  <c r="B116" i="12"/>
  <c r="F93" i="12"/>
  <c r="E93" i="12"/>
  <c r="D93" i="12"/>
  <c r="C93" i="12"/>
  <c r="B93" i="12"/>
  <c r="A93" i="12"/>
  <c r="F92" i="12"/>
  <c r="E92" i="12"/>
  <c r="D92" i="12"/>
  <c r="C92" i="12"/>
  <c r="B92" i="12"/>
  <c r="A92" i="12"/>
  <c r="F91" i="12"/>
  <c r="E91" i="12"/>
  <c r="D91" i="12"/>
  <c r="C91" i="12"/>
  <c r="B91" i="12"/>
  <c r="A91" i="12"/>
  <c r="F90" i="12"/>
  <c r="E90" i="12"/>
  <c r="D90" i="12"/>
  <c r="C90" i="12"/>
  <c r="B90" i="12"/>
  <c r="A90" i="12"/>
  <c r="F89" i="12"/>
  <c r="E89" i="12"/>
  <c r="D89" i="12"/>
  <c r="C89" i="12"/>
  <c r="B89" i="12"/>
  <c r="A89" i="12"/>
  <c r="II88" i="12"/>
  <c r="IH88" i="12"/>
  <c r="IG88" i="12"/>
  <c r="IF88" i="12"/>
  <c r="IE88" i="12"/>
  <c r="ID88" i="12"/>
  <c r="IC88" i="12"/>
  <c r="IB88" i="12"/>
  <c r="IB86" i="12" s="1"/>
  <c r="IA88" i="12"/>
  <c r="IA86" i="12" s="1"/>
  <c r="HZ88" i="12"/>
  <c r="HZ86" i="12" s="1"/>
  <c r="HY88" i="12"/>
  <c r="HY86" i="12" s="1"/>
  <c r="HX88" i="12"/>
  <c r="HX86" i="12" s="1"/>
  <c r="HW88" i="12"/>
  <c r="HW86" i="12" s="1"/>
  <c r="HV88" i="12"/>
  <c r="HV86" i="12" s="1"/>
  <c r="HU88" i="12"/>
  <c r="HU86" i="12" s="1"/>
  <c r="HT88" i="12"/>
  <c r="HT86" i="12" s="1"/>
  <c r="HS88" i="12"/>
  <c r="HS86" i="12" s="1"/>
  <c r="HR88" i="12"/>
  <c r="HR86" i="12" s="1"/>
  <c r="HQ88" i="12"/>
  <c r="HQ86" i="12" s="1"/>
  <c r="HP88" i="12"/>
  <c r="HP86" i="12" s="1"/>
  <c r="HO88" i="12"/>
  <c r="HO86" i="12" s="1"/>
  <c r="HN88" i="12"/>
  <c r="HN86" i="12" s="1"/>
  <c r="HM88" i="12"/>
  <c r="HL88" i="12"/>
  <c r="HL86" i="12" s="1"/>
  <c r="HK88" i="12"/>
  <c r="HK86" i="12" s="1"/>
  <c r="HJ88" i="12"/>
  <c r="HJ86" i="12" s="1"/>
  <c r="HI88" i="12"/>
  <c r="HI86" i="12" s="1"/>
  <c r="HH88" i="12"/>
  <c r="HH86" i="12" s="1"/>
  <c r="HG88" i="12"/>
  <c r="HG86" i="12" s="1"/>
  <c r="HF88" i="12"/>
  <c r="HF86" i="12" s="1"/>
  <c r="HE88" i="12"/>
  <c r="HE86" i="12" s="1"/>
  <c r="HD88" i="12"/>
  <c r="HD86" i="12" s="1"/>
  <c r="HC88" i="12"/>
  <c r="HC86" i="12" s="1"/>
  <c r="HB88" i="12"/>
  <c r="HB86" i="12" s="1"/>
  <c r="HA88" i="12"/>
  <c r="HA86" i="12" s="1"/>
  <c r="GZ88" i="12"/>
  <c r="GZ86" i="12" s="1"/>
  <c r="GY88" i="12"/>
  <c r="GY86" i="12" s="1"/>
  <c r="GX88" i="12"/>
  <c r="GX86" i="12" s="1"/>
  <c r="GW88" i="12"/>
  <c r="GV88" i="12"/>
  <c r="GV86" i="12" s="1"/>
  <c r="GU88" i="12"/>
  <c r="GU86" i="12" s="1"/>
  <c r="GT88" i="12"/>
  <c r="GT86" i="12" s="1"/>
  <c r="GS88" i="12"/>
  <c r="GS86" i="12" s="1"/>
  <c r="GR88" i="12"/>
  <c r="GR86" i="12" s="1"/>
  <c r="GQ88" i="12"/>
  <c r="GQ86" i="12" s="1"/>
  <c r="GP88" i="12"/>
  <c r="GP86" i="12" s="1"/>
  <c r="GO88" i="12"/>
  <c r="GO86" i="12" s="1"/>
  <c r="GN88" i="12"/>
  <c r="GN86" i="12" s="1"/>
  <c r="GM88" i="12"/>
  <c r="GM86" i="12" s="1"/>
  <c r="GL88" i="12"/>
  <c r="GL86" i="12" s="1"/>
  <c r="GK88" i="12"/>
  <c r="GJ88" i="12"/>
  <c r="GJ86" i="12" s="1"/>
  <c r="GI88" i="12"/>
  <c r="GI86" i="12" s="1"/>
  <c r="GH88" i="12"/>
  <c r="GH86" i="12" s="1"/>
  <c r="GG88" i="12"/>
  <c r="GF88" i="12"/>
  <c r="GF86" i="12" s="1"/>
  <c r="GE88" i="12"/>
  <c r="GE86" i="12" s="1"/>
  <c r="GD88" i="12"/>
  <c r="GD86" i="12" s="1"/>
  <c r="GC88" i="12"/>
  <c r="GC86" i="12" s="1"/>
  <c r="GB88" i="12"/>
  <c r="GB86" i="12" s="1"/>
  <c r="GA88" i="12"/>
  <c r="GA86" i="12" s="1"/>
  <c r="FZ88" i="12"/>
  <c r="FZ86" i="12" s="1"/>
  <c r="FY88" i="12"/>
  <c r="FY86" i="12" s="1"/>
  <c r="FX88" i="12"/>
  <c r="FX86" i="12" s="1"/>
  <c r="FW88" i="12"/>
  <c r="FW86" i="12" s="1"/>
  <c r="FV88" i="12"/>
  <c r="FV86" i="12" s="1"/>
  <c r="FU88" i="12"/>
  <c r="FU86" i="12" s="1"/>
  <c r="FT88" i="12"/>
  <c r="FT86" i="12" s="1"/>
  <c r="FS88" i="12"/>
  <c r="FS86" i="12" s="1"/>
  <c r="FR88" i="12"/>
  <c r="FR86" i="12" s="1"/>
  <c r="FQ88" i="12"/>
  <c r="FP88" i="12"/>
  <c r="FP86" i="12" s="1"/>
  <c r="FO88" i="12"/>
  <c r="FO86" i="12" s="1"/>
  <c r="FN88" i="12"/>
  <c r="FN86" i="12" s="1"/>
  <c r="FM88" i="12"/>
  <c r="FM86" i="12" s="1"/>
  <c r="FL88" i="12"/>
  <c r="FL86" i="12" s="1"/>
  <c r="FK88" i="12"/>
  <c r="FK86" i="12" s="1"/>
  <c r="FJ88" i="12"/>
  <c r="FJ86" i="12" s="1"/>
  <c r="FI88" i="12"/>
  <c r="FI86" i="12" s="1"/>
  <c r="FH88" i="12"/>
  <c r="FH86" i="12" s="1"/>
  <c r="FG88" i="12"/>
  <c r="FG86" i="12" s="1"/>
  <c r="FF88" i="12"/>
  <c r="FF86" i="12" s="1"/>
  <c r="FE88" i="12"/>
  <c r="FE86" i="12" s="1"/>
  <c r="FD88" i="12"/>
  <c r="FD86" i="12" s="1"/>
  <c r="FC88" i="12"/>
  <c r="FC86" i="12" s="1"/>
  <c r="FB88" i="12"/>
  <c r="FB86" i="12" s="1"/>
  <c r="FA88" i="12"/>
  <c r="EZ88" i="12"/>
  <c r="EZ86" i="12" s="1"/>
  <c r="EY88" i="12"/>
  <c r="EY86" i="12" s="1"/>
  <c r="EX88" i="12"/>
  <c r="EX86" i="12" s="1"/>
  <c r="EW88" i="12"/>
  <c r="EW86" i="12" s="1"/>
  <c r="EV88" i="12"/>
  <c r="EV86" i="12" s="1"/>
  <c r="EU88" i="12"/>
  <c r="EU86" i="12" s="1"/>
  <c r="ET88" i="12"/>
  <c r="ET86" i="12" s="1"/>
  <c r="ES88" i="12"/>
  <c r="ES86" i="12" s="1"/>
  <c r="ER88" i="12"/>
  <c r="ER86" i="12" s="1"/>
  <c r="EQ88" i="12"/>
  <c r="EQ86" i="12" s="1"/>
  <c r="EP88" i="12"/>
  <c r="EP86" i="12" s="1"/>
  <c r="EO88" i="12"/>
  <c r="EO86" i="12" s="1"/>
  <c r="EN88" i="12"/>
  <c r="EN86" i="12" s="1"/>
  <c r="EM88" i="12"/>
  <c r="EM86" i="12" s="1"/>
  <c r="EL88" i="12"/>
  <c r="EL86" i="12" s="1"/>
  <c r="EK88" i="12"/>
  <c r="EK86" i="12" s="1"/>
  <c r="EJ88" i="12"/>
  <c r="EJ86" i="12" s="1"/>
  <c r="EI88" i="12"/>
  <c r="EI86" i="12" s="1"/>
  <c r="EH88" i="12"/>
  <c r="EH86" i="12" s="1"/>
  <c r="EG88" i="12"/>
  <c r="EG86" i="12" s="1"/>
  <c r="EF88" i="12"/>
  <c r="EF86" i="12" s="1"/>
  <c r="EE88" i="12"/>
  <c r="EE86" i="12" s="1"/>
  <c r="ED88" i="12"/>
  <c r="ED86" i="12" s="1"/>
  <c r="EC88" i="12"/>
  <c r="EC86" i="12" s="1"/>
  <c r="EB88" i="12"/>
  <c r="EB86" i="12" s="1"/>
  <c r="EA88" i="12"/>
  <c r="EA86" i="12" s="1"/>
  <c r="DZ88" i="12"/>
  <c r="DZ86" i="12" s="1"/>
  <c r="DY88" i="12"/>
  <c r="DY86" i="12" s="1"/>
  <c r="DX88" i="12"/>
  <c r="DX86" i="12" s="1"/>
  <c r="DW88" i="12"/>
  <c r="DW86" i="12" s="1"/>
  <c r="DV88" i="12"/>
  <c r="DV86" i="12" s="1"/>
  <c r="DU88" i="12"/>
  <c r="DU86" i="12" s="1"/>
  <c r="DT88" i="12"/>
  <c r="DT86" i="12" s="1"/>
  <c r="DS88" i="12"/>
  <c r="DS86" i="12" s="1"/>
  <c r="DR88" i="12"/>
  <c r="DR86" i="12" s="1"/>
  <c r="DQ88" i="12"/>
  <c r="DQ86" i="12" s="1"/>
  <c r="DP88" i="12"/>
  <c r="DP86" i="12" s="1"/>
  <c r="DO88" i="12"/>
  <c r="DO86" i="12" s="1"/>
  <c r="DN88" i="12"/>
  <c r="DN86" i="12" s="1"/>
  <c r="DM88" i="12"/>
  <c r="DM86" i="12" s="1"/>
  <c r="DL88" i="12"/>
  <c r="DL86" i="12" s="1"/>
  <c r="DK88" i="12"/>
  <c r="DK86" i="12" s="1"/>
  <c r="DJ88" i="12"/>
  <c r="DJ86" i="12" s="1"/>
  <c r="DI88" i="12"/>
  <c r="DI86" i="12" s="1"/>
  <c r="DH88" i="12"/>
  <c r="DH86" i="12" s="1"/>
  <c r="DG88" i="12"/>
  <c r="DG86" i="12" s="1"/>
  <c r="DF88" i="12"/>
  <c r="DF86" i="12" s="1"/>
  <c r="DE88" i="12"/>
  <c r="DE86" i="12" s="1"/>
  <c r="DD88" i="12"/>
  <c r="DD86" i="12" s="1"/>
  <c r="DC88" i="12"/>
  <c r="DC86" i="12" s="1"/>
  <c r="DB88" i="12"/>
  <c r="DB86" i="12" s="1"/>
  <c r="DA88" i="12"/>
  <c r="DA86" i="12" s="1"/>
  <c r="CZ88" i="12"/>
  <c r="CZ86" i="12" s="1"/>
  <c r="CY88" i="12"/>
  <c r="CY86" i="12" s="1"/>
  <c r="CX88" i="12"/>
  <c r="CX86" i="12" s="1"/>
  <c r="CW88" i="12"/>
  <c r="CW86" i="12" s="1"/>
  <c r="CV88" i="12"/>
  <c r="CV86" i="12" s="1"/>
  <c r="CU88" i="12"/>
  <c r="CU86" i="12" s="1"/>
  <c r="CT88" i="12"/>
  <c r="CT86" i="12" s="1"/>
  <c r="CS88" i="12"/>
  <c r="CS86" i="12" s="1"/>
  <c r="CR88" i="12"/>
  <c r="CR86" i="12" s="1"/>
  <c r="CQ88" i="12"/>
  <c r="CQ86" i="12" s="1"/>
  <c r="CP88" i="12"/>
  <c r="CP86" i="12" s="1"/>
  <c r="CO88" i="12"/>
  <c r="CO86" i="12" s="1"/>
  <c r="CN88" i="12"/>
  <c r="CN86" i="12" s="1"/>
  <c r="CM88" i="12"/>
  <c r="CM86" i="12" s="1"/>
  <c r="CL88" i="12"/>
  <c r="CL86" i="12" s="1"/>
  <c r="CK88" i="12"/>
  <c r="CK86" i="12" s="1"/>
  <c r="CJ88" i="12"/>
  <c r="CJ86" i="12" s="1"/>
  <c r="CI88" i="12"/>
  <c r="CI86" i="12" s="1"/>
  <c r="CH88" i="12"/>
  <c r="CH86" i="12" s="1"/>
  <c r="CG88" i="12"/>
  <c r="CG86" i="12" s="1"/>
  <c r="CF88" i="12"/>
  <c r="CF86" i="12" s="1"/>
  <c r="CE88" i="12"/>
  <c r="CE86" i="12" s="1"/>
  <c r="CD88" i="12"/>
  <c r="CD86" i="12" s="1"/>
  <c r="CC88" i="12"/>
  <c r="CC86" i="12" s="1"/>
  <c r="CB88" i="12"/>
  <c r="CB86" i="12" s="1"/>
  <c r="CA88" i="12"/>
  <c r="CA86" i="12" s="1"/>
  <c r="BZ88" i="12"/>
  <c r="BZ86" i="12" s="1"/>
  <c r="BY88" i="12"/>
  <c r="BY86" i="12" s="1"/>
  <c r="BX88" i="12"/>
  <c r="BX86" i="12" s="1"/>
  <c r="BW88" i="12"/>
  <c r="BW86" i="12" s="1"/>
  <c r="BV88" i="12"/>
  <c r="BV86" i="12" s="1"/>
  <c r="BU88" i="12"/>
  <c r="BU86" i="12" s="1"/>
  <c r="BT88" i="12"/>
  <c r="BT86" i="12" s="1"/>
  <c r="BS88" i="12"/>
  <c r="BS86" i="12" s="1"/>
  <c r="BR88" i="12"/>
  <c r="BR86" i="12" s="1"/>
  <c r="BQ88" i="12"/>
  <c r="BQ86" i="12" s="1"/>
  <c r="BP88" i="12"/>
  <c r="BP86" i="12" s="1"/>
  <c r="BO88" i="12"/>
  <c r="BO86" i="12" s="1"/>
  <c r="BN88" i="12"/>
  <c r="BN86" i="12" s="1"/>
  <c r="BM88" i="12"/>
  <c r="BM86" i="12" s="1"/>
  <c r="BL88" i="12"/>
  <c r="BL86" i="12" s="1"/>
  <c r="BK88" i="12"/>
  <c r="BK86" i="12" s="1"/>
  <c r="BJ88" i="12"/>
  <c r="BJ86" i="12" s="1"/>
  <c r="BI88" i="12"/>
  <c r="BI86" i="12" s="1"/>
  <c r="BH88" i="12"/>
  <c r="BH86" i="12" s="1"/>
  <c r="BG88" i="12"/>
  <c r="BG86" i="12" s="1"/>
  <c r="BF88" i="12"/>
  <c r="BF86" i="12" s="1"/>
  <c r="BE88" i="12"/>
  <c r="BE86" i="12" s="1"/>
  <c r="BD88" i="12"/>
  <c r="BD86" i="12" s="1"/>
  <c r="BC88" i="12"/>
  <c r="BC86" i="12" s="1"/>
  <c r="BB88" i="12"/>
  <c r="BB86" i="12" s="1"/>
  <c r="BA88" i="12"/>
  <c r="BA86" i="12" s="1"/>
  <c r="AZ88" i="12"/>
  <c r="AZ86" i="12" s="1"/>
  <c r="AY88" i="12"/>
  <c r="AY86" i="12" s="1"/>
  <c r="AX88" i="12"/>
  <c r="AX86" i="12" s="1"/>
  <c r="AW88" i="12"/>
  <c r="AW86" i="12" s="1"/>
  <c r="AV88" i="12"/>
  <c r="AV86" i="12" s="1"/>
  <c r="AU88" i="12"/>
  <c r="AU86" i="12" s="1"/>
  <c r="AT88" i="12"/>
  <c r="AT86" i="12" s="1"/>
  <c r="AS88" i="12"/>
  <c r="AS86" i="12" s="1"/>
  <c r="AR88" i="12"/>
  <c r="AR86" i="12" s="1"/>
  <c r="AQ88" i="12"/>
  <c r="AQ86" i="12" s="1"/>
  <c r="AP88" i="12"/>
  <c r="AP86" i="12" s="1"/>
  <c r="AO88" i="12"/>
  <c r="AO86" i="12" s="1"/>
  <c r="AN88" i="12"/>
  <c r="AN86" i="12" s="1"/>
  <c r="AM88" i="12"/>
  <c r="AM86" i="12" s="1"/>
  <c r="AL88" i="12"/>
  <c r="AL86" i="12" s="1"/>
  <c r="AK88" i="12"/>
  <c r="AK86" i="12" s="1"/>
  <c r="AJ88" i="12"/>
  <c r="AJ86" i="12" s="1"/>
  <c r="AI88" i="12"/>
  <c r="AI86" i="12" s="1"/>
  <c r="AH88" i="12"/>
  <c r="AH86" i="12" s="1"/>
  <c r="AG88" i="12"/>
  <c r="AG86" i="12" s="1"/>
  <c r="AF88" i="12"/>
  <c r="AF86" i="12" s="1"/>
  <c r="AE88" i="12"/>
  <c r="AE86" i="12" s="1"/>
  <c r="AD88" i="12"/>
  <c r="AD86" i="12" s="1"/>
  <c r="AC88" i="12"/>
  <c r="AC86" i="12" s="1"/>
  <c r="AB88" i="12"/>
  <c r="AB86" i="12" s="1"/>
  <c r="AA88" i="12"/>
  <c r="AA86" i="12" s="1"/>
  <c r="Z88" i="12"/>
  <c r="Z86" i="12" s="1"/>
  <c r="Y88" i="12"/>
  <c r="Y86" i="12" s="1"/>
  <c r="X88" i="12"/>
  <c r="X86" i="12" s="1"/>
  <c r="W88" i="12"/>
  <c r="W86" i="12" s="1"/>
  <c r="V88" i="12"/>
  <c r="V86" i="12" s="1"/>
  <c r="U88" i="12"/>
  <c r="U86" i="12" s="1"/>
  <c r="T88" i="12"/>
  <c r="T86" i="12" s="1"/>
  <c r="S88" i="12"/>
  <c r="S86" i="12" s="1"/>
  <c r="R88" i="12"/>
  <c r="R86" i="12" s="1"/>
  <c r="Q88" i="12"/>
  <c r="Q86" i="12" s="1"/>
  <c r="P88" i="12"/>
  <c r="P86" i="12" s="1"/>
  <c r="O88" i="12"/>
  <c r="O86" i="12" s="1"/>
  <c r="N88" i="12"/>
  <c r="N86" i="12" s="1"/>
  <c r="M88" i="12"/>
  <c r="M86" i="12" s="1"/>
  <c r="IC86" i="12"/>
  <c r="HM86" i="12"/>
  <c r="GW86" i="12"/>
  <c r="GK86" i="12"/>
  <c r="GG86" i="12"/>
  <c r="FQ86" i="12"/>
  <c r="FA86" i="12"/>
  <c r="B86" i="12"/>
  <c r="L88" i="12" s="1"/>
  <c r="B85" i="12"/>
  <c r="F81" i="12"/>
  <c r="E81" i="12"/>
  <c r="D81" i="12"/>
  <c r="C81" i="12"/>
  <c r="B81" i="12"/>
  <c r="A81" i="12"/>
  <c r="F80" i="12"/>
  <c r="E80" i="12"/>
  <c r="D80" i="12"/>
  <c r="C80" i="12"/>
  <c r="B80" i="12"/>
  <c r="A80" i="12"/>
  <c r="F79" i="12"/>
  <c r="E79" i="12"/>
  <c r="D79" i="12"/>
  <c r="C79" i="12"/>
  <c r="B79" i="12"/>
  <c r="A79" i="12"/>
  <c r="F78" i="12"/>
  <c r="E78" i="12"/>
  <c r="D78" i="12"/>
  <c r="C78" i="12"/>
  <c r="B78" i="12"/>
  <c r="A78" i="12"/>
  <c r="F77" i="12"/>
  <c r="E77" i="12"/>
  <c r="D77" i="12"/>
  <c r="C77" i="12"/>
  <c r="B77" i="12"/>
  <c r="A77" i="12"/>
  <c r="HH76" i="12"/>
  <c r="HH74" i="12" s="1"/>
  <c r="HG76" i="12"/>
  <c r="HG74" i="12" s="1"/>
  <c r="HF76" i="12"/>
  <c r="HF74" i="12" s="1"/>
  <c r="HE76" i="12"/>
  <c r="HE74" i="12" s="1"/>
  <c r="HD76" i="12"/>
  <c r="HD74" i="12" s="1"/>
  <c r="HC76" i="12"/>
  <c r="HC74" i="12" s="1"/>
  <c r="HB76" i="12"/>
  <c r="HB74" i="12" s="1"/>
  <c r="HA76" i="12"/>
  <c r="HA74" i="12" s="1"/>
  <c r="GZ76" i="12"/>
  <c r="GZ74" i="12" s="1"/>
  <c r="GY76" i="12"/>
  <c r="GY74" i="12" s="1"/>
  <c r="GX76" i="12"/>
  <c r="GX74" i="12" s="1"/>
  <c r="GW76" i="12"/>
  <c r="GW74" i="12" s="1"/>
  <c r="GV76" i="12"/>
  <c r="GV74" i="12" s="1"/>
  <c r="GU76" i="12"/>
  <c r="GU74" i="12" s="1"/>
  <c r="GT76" i="12"/>
  <c r="GT74" i="12" s="1"/>
  <c r="GS76" i="12"/>
  <c r="GS74" i="12" s="1"/>
  <c r="GR76" i="12"/>
  <c r="GR74" i="12" s="1"/>
  <c r="GQ76" i="12"/>
  <c r="GQ74" i="12" s="1"/>
  <c r="GP76" i="12"/>
  <c r="GP74" i="12" s="1"/>
  <c r="GO76" i="12"/>
  <c r="GO74" i="12" s="1"/>
  <c r="GN76" i="12"/>
  <c r="GN74" i="12" s="1"/>
  <c r="GM76" i="12"/>
  <c r="GM74" i="12" s="1"/>
  <c r="GL76" i="12"/>
  <c r="GL74" i="12" s="1"/>
  <c r="GK76" i="12"/>
  <c r="GK74" i="12" s="1"/>
  <c r="GJ76" i="12"/>
  <c r="GJ74" i="12" s="1"/>
  <c r="GI76" i="12"/>
  <c r="GI74" i="12" s="1"/>
  <c r="GH76" i="12"/>
  <c r="GH74" i="12" s="1"/>
  <c r="GG76" i="12"/>
  <c r="GG74" i="12" s="1"/>
  <c r="GF76" i="12"/>
  <c r="GF74" i="12" s="1"/>
  <c r="GE76" i="12"/>
  <c r="GE74" i="12" s="1"/>
  <c r="GD76" i="12"/>
  <c r="GD74" i="12" s="1"/>
  <c r="GC76" i="12"/>
  <c r="GC74" i="12" s="1"/>
  <c r="GB76" i="12"/>
  <c r="GB74" i="12" s="1"/>
  <c r="GA76" i="12"/>
  <c r="GA74" i="12" s="1"/>
  <c r="FZ76" i="12"/>
  <c r="FZ74" i="12" s="1"/>
  <c r="FY76" i="12"/>
  <c r="FY74" i="12" s="1"/>
  <c r="FX76" i="12"/>
  <c r="FX74" i="12" s="1"/>
  <c r="FW76" i="12"/>
  <c r="FW74" i="12" s="1"/>
  <c r="FV76" i="12"/>
  <c r="FV74" i="12" s="1"/>
  <c r="FU76" i="12"/>
  <c r="FU74" i="12" s="1"/>
  <c r="FT76" i="12"/>
  <c r="FT74" i="12" s="1"/>
  <c r="FS76" i="12"/>
  <c r="FS74" i="12" s="1"/>
  <c r="FR76" i="12"/>
  <c r="FR74" i="12" s="1"/>
  <c r="FQ76" i="12"/>
  <c r="FQ74" i="12" s="1"/>
  <c r="FP76" i="12"/>
  <c r="FP74" i="12" s="1"/>
  <c r="FO76" i="12"/>
  <c r="FO74" i="12" s="1"/>
  <c r="FN76" i="12"/>
  <c r="FN74" i="12" s="1"/>
  <c r="FM76" i="12"/>
  <c r="FM74" i="12" s="1"/>
  <c r="FL76" i="12"/>
  <c r="FL74" i="12" s="1"/>
  <c r="FK76" i="12"/>
  <c r="FK74" i="12" s="1"/>
  <c r="FJ76" i="12"/>
  <c r="FJ74" i="12" s="1"/>
  <c r="FI76" i="12"/>
  <c r="FI74" i="12" s="1"/>
  <c r="FH76" i="12"/>
  <c r="FH74" i="12" s="1"/>
  <c r="FG76" i="12"/>
  <c r="FG74" i="12" s="1"/>
  <c r="FF76" i="12"/>
  <c r="FF74" i="12" s="1"/>
  <c r="FE76" i="12"/>
  <c r="FE74" i="12" s="1"/>
  <c r="FD76" i="12"/>
  <c r="FD74" i="12" s="1"/>
  <c r="FC76" i="12"/>
  <c r="FC74" i="12" s="1"/>
  <c r="FB76" i="12"/>
  <c r="FB74" i="12" s="1"/>
  <c r="FA76" i="12"/>
  <c r="FA74" i="12" s="1"/>
  <c r="EZ76" i="12"/>
  <c r="EZ74" i="12" s="1"/>
  <c r="EY76" i="12"/>
  <c r="EY74" i="12" s="1"/>
  <c r="EX76" i="12"/>
  <c r="EX74" i="12" s="1"/>
  <c r="EW76" i="12"/>
  <c r="EW74" i="12" s="1"/>
  <c r="EV76" i="12"/>
  <c r="EV74" i="12" s="1"/>
  <c r="EU76" i="12"/>
  <c r="EU74" i="12" s="1"/>
  <c r="ET76" i="12"/>
  <c r="ET74" i="12" s="1"/>
  <c r="ES76" i="12"/>
  <c r="ES74" i="12" s="1"/>
  <c r="ER76" i="12"/>
  <c r="ER74" i="12" s="1"/>
  <c r="EQ76" i="12"/>
  <c r="EQ74" i="12" s="1"/>
  <c r="EP76" i="12"/>
  <c r="EP74" i="12" s="1"/>
  <c r="EO76" i="12"/>
  <c r="EO74" i="12" s="1"/>
  <c r="EN76" i="12"/>
  <c r="EN74" i="12" s="1"/>
  <c r="EM76" i="12"/>
  <c r="EM74" i="12" s="1"/>
  <c r="EL76" i="12"/>
  <c r="EL74" i="12" s="1"/>
  <c r="EK76" i="12"/>
  <c r="EK74" i="12" s="1"/>
  <c r="EJ76" i="12"/>
  <c r="EJ74" i="12" s="1"/>
  <c r="EI76" i="12"/>
  <c r="EI74" i="12" s="1"/>
  <c r="EH76" i="12"/>
  <c r="EH74" i="12" s="1"/>
  <c r="EG76" i="12"/>
  <c r="EG74" i="12" s="1"/>
  <c r="EF76" i="12"/>
  <c r="EF74" i="12" s="1"/>
  <c r="EE76" i="12"/>
  <c r="EE74" i="12" s="1"/>
  <c r="ED76" i="12"/>
  <c r="ED74" i="12" s="1"/>
  <c r="EC76" i="12"/>
  <c r="EC74" i="12" s="1"/>
  <c r="EB76" i="12"/>
  <c r="EB74" i="12" s="1"/>
  <c r="EA76" i="12"/>
  <c r="EA74" i="12" s="1"/>
  <c r="DZ76" i="12"/>
  <c r="DZ74" i="12" s="1"/>
  <c r="DY76" i="12"/>
  <c r="DY74" i="12" s="1"/>
  <c r="DX76" i="12"/>
  <c r="DX74" i="12" s="1"/>
  <c r="DW76" i="12"/>
  <c r="DW74" i="12" s="1"/>
  <c r="DV76" i="12"/>
  <c r="DV74" i="12" s="1"/>
  <c r="DU76" i="12"/>
  <c r="DU74" i="12" s="1"/>
  <c r="DT76" i="12"/>
  <c r="DT74" i="12" s="1"/>
  <c r="DS76" i="12"/>
  <c r="DS74" i="12" s="1"/>
  <c r="DR76" i="12"/>
  <c r="DR74" i="12" s="1"/>
  <c r="DQ76" i="12"/>
  <c r="DQ74" i="12" s="1"/>
  <c r="DP76" i="12"/>
  <c r="DP74" i="12" s="1"/>
  <c r="DO76" i="12"/>
  <c r="DO74" i="12" s="1"/>
  <c r="DN76" i="12"/>
  <c r="DN74" i="12" s="1"/>
  <c r="DM76" i="12"/>
  <c r="DM74" i="12" s="1"/>
  <c r="DL76" i="12"/>
  <c r="DL74" i="12" s="1"/>
  <c r="DK76" i="12"/>
  <c r="DK74" i="12" s="1"/>
  <c r="DJ76" i="12"/>
  <c r="DJ74" i="12" s="1"/>
  <c r="DI76" i="12"/>
  <c r="DI74" i="12" s="1"/>
  <c r="DH76" i="12"/>
  <c r="DH74" i="12" s="1"/>
  <c r="DG76" i="12"/>
  <c r="DG74" i="12" s="1"/>
  <c r="DF76" i="12"/>
  <c r="DF74" i="12" s="1"/>
  <c r="DE76" i="12"/>
  <c r="DE74" i="12" s="1"/>
  <c r="DD76" i="12"/>
  <c r="DD74" i="12" s="1"/>
  <c r="DC76" i="12"/>
  <c r="DC74" i="12" s="1"/>
  <c r="DB76" i="12"/>
  <c r="DB74" i="12" s="1"/>
  <c r="DA76" i="12"/>
  <c r="DA74" i="12" s="1"/>
  <c r="CZ76" i="12"/>
  <c r="CZ74" i="12" s="1"/>
  <c r="CY76" i="12"/>
  <c r="CY74" i="12" s="1"/>
  <c r="CX76" i="12"/>
  <c r="CX74" i="12" s="1"/>
  <c r="CW76" i="12"/>
  <c r="CW74" i="12" s="1"/>
  <c r="CV76" i="12"/>
  <c r="CV74" i="12" s="1"/>
  <c r="CU76" i="12"/>
  <c r="CU74" i="12" s="1"/>
  <c r="CT76" i="12"/>
  <c r="CT74" i="12" s="1"/>
  <c r="CS76" i="12"/>
  <c r="CS74" i="12" s="1"/>
  <c r="CR76" i="12"/>
  <c r="CR74" i="12" s="1"/>
  <c r="CQ76" i="12"/>
  <c r="CQ74" i="12" s="1"/>
  <c r="CP76" i="12"/>
  <c r="CP74" i="12" s="1"/>
  <c r="CO76" i="12"/>
  <c r="CO74" i="12" s="1"/>
  <c r="CN76" i="12"/>
  <c r="CN74" i="12" s="1"/>
  <c r="CM76" i="12"/>
  <c r="CM74" i="12" s="1"/>
  <c r="CL76" i="12"/>
  <c r="CL74" i="12" s="1"/>
  <c r="CK76" i="12"/>
  <c r="CK74" i="12" s="1"/>
  <c r="CJ76" i="12"/>
  <c r="CJ74" i="12" s="1"/>
  <c r="CI76" i="12"/>
  <c r="CI74" i="12" s="1"/>
  <c r="CH76" i="12"/>
  <c r="CH74" i="12" s="1"/>
  <c r="CG76" i="12"/>
  <c r="CG74" i="12" s="1"/>
  <c r="CF76" i="12"/>
  <c r="CF74" i="12" s="1"/>
  <c r="CE76" i="12"/>
  <c r="CE74" i="12" s="1"/>
  <c r="CD76" i="12"/>
  <c r="CD74" i="12" s="1"/>
  <c r="CC76" i="12"/>
  <c r="CC74" i="12" s="1"/>
  <c r="CB76" i="12"/>
  <c r="CB74" i="12" s="1"/>
  <c r="CA76" i="12"/>
  <c r="CA74" i="12" s="1"/>
  <c r="BZ76" i="12"/>
  <c r="BZ74" i="12" s="1"/>
  <c r="BY76" i="12"/>
  <c r="BY74" i="12" s="1"/>
  <c r="BX76" i="12"/>
  <c r="BX74" i="12" s="1"/>
  <c r="BW76" i="12"/>
  <c r="BW74" i="12" s="1"/>
  <c r="BV76" i="12"/>
  <c r="BV74" i="12" s="1"/>
  <c r="BU76" i="12"/>
  <c r="BU74" i="12" s="1"/>
  <c r="BT76" i="12"/>
  <c r="BT74" i="12" s="1"/>
  <c r="BS76" i="12"/>
  <c r="BS74" i="12" s="1"/>
  <c r="BR76" i="12"/>
  <c r="BR74" i="12" s="1"/>
  <c r="BQ76" i="12"/>
  <c r="BQ74" i="12" s="1"/>
  <c r="BP76" i="12"/>
  <c r="BP74" i="12" s="1"/>
  <c r="BO76" i="12"/>
  <c r="BO74" i="12" s="1"/>
  <c r="BN76" i="12"/>
  <c r="BN74" i="12" s="1"/>
  <c r="BM76" i="12"/>
  <c r="BM74" i="12" s="1"/>
  <c r="BL76" i="12"/>
  <c r="BL74" i="12" s="1"/>
  <c r="BK76" i="12"/>
  <c r="BK74" i="12" s="1"/>
  <c r="BJ76" i="12"/>
  <c r="BJ74" i="12" s="1"/>
  <c r="BI76" i="12"/>
  <c r="BI74" i="12" s="1"/>
  <c r="BH76" i="12"/>
  <c r="BH74" i="12" s="1"/>
  <c r="BG76" i="12"/>
  <c r="BG74" i="12" s="1"/>
  <c r="BF76" i="12"/>
  <c r="BF74" i="12" s="1"/>
  <c r="BE76" i="12"/>
  <c r="BE74" i="12" s="1"/>
  <c r="BD76" i="12"/>
  <c r="BD74" i="12" s="1"/>
  <c r="BC76" i="12"/>
  <c r="BC74" i="12" s="1"/>
  <c r="BB76" i="12"/>
  <c r="BB74" i="12" s="1"/>
  <c r="BA76" i="12"/>
  <c r="BA74" i="12" s="1"/>
  <c r="AZ76" i="12"/>
  <c r="AZ74" i="12" s="1"/>
  <c r="AY76" i="12"/>
  <c r="AY74" i="12" s="1"/>
  <c r="AX76" i="12"/>
  <c r="AX74" i="12" s="1"/>
  <c r="AW76" i="12"/>
  <c r="AW74" i="12" s="1"/>
  <c r="AV76" i="12"/>
  <c r="AV74" i="12" s="1"/>
  <c r="AU76" i="12"/>
  <c r="AU74" i="12" s="1"/>
  <c r="AT76" i="12"/>
  <c r="AT74" i="12" s="1"/>
  <c r="AS76" i="12"/>
  <c r="AS74" i="12" s="1"/>
  <c r="AR76" i="12"/>
  <c r="AR74" i="12" s="1"/>
  <c r="AQ76" i="12"/>
  <c r="AQ74" i="12" s="1"/>
  <c r="AP76" i="12"/>
  <c r="AP74" i="12" s="1"/>
  <c r="AO76" i="12"/>
  <c r="AO74" i="12" s="1"/>
  <c r="AN76" i="12"/>
  <c r="AN74" i="12" s="1"/>
  <c r="AM76" i="12"/>
  <c r="AM74" i="12" s="1"/>
  <c r="AL76" i="12"/>
  <c r="AL74" i="12" s="1"/>
  <c r="AK76" i="12"/>
  <c r="AK74" i="12" s="1"/>
  <c r="AJ76" i="12"/>
  <c r="AJ74" i="12" s="1"/>
  <c r="AI76" i="12"/>
  <c r="AI74" i="12" s="1"/>
  <c r="AH76" i="12"/>
  <c r="AH74" i="12" s="1"/>
  <c r="AG76" i="12"/>
  <c r="AG74" i="12" s="1"/>
  <c r="AF76" i="12"/>
  <c r="AF74" i="12" s="1"/>
  <c r="AE76" i="12"/>
  <c r="AE74" i="12" s="1"/>
  <c r="AD76" i="12"/>
  <c r="AD74" i="12" s="1"/>
  <c r="AC76" i="12"/>
  <c r="AC74" i="12" s="1"/>
  <c r="AB76" i="12"/>
  <c r="AB74" i="12" s="1"/>
  <c r="AA76" i="12"/>
  <c r="AA74" i="12" s="1"/>
  <c r="Z76" i="12"/>
  <c r="Z74" i="12" s="1"/>
  <c r="Y76" i="12"/>
  <c r="Y74" i="12" s="1"/>
  <c r="X76" i="12"/>
  <c r="X74" i="12" s="1"/>
  <c r="W76" i="12"/>
  <c r="W74" i="12" s="1"/>
  <c r="V76" i="12"/>
  <c r="V74" i="12" s="1"/>
  <c r="U76" i="12"/>
  <c r="U74" i="12" s="1"/>
  <c r="T76" i="12"/>
  <c r="T74" i="12" s="1"/>
  <c r="S76" i="12"/>
  <c r="S74" i="12" s="1"/>
  <c r="R76" i="12"/>
  <c r="R74" i="12" s="1"/>
  <c r="Q76" i="12"/>
  <c r="Q74" i="12" s="1"/>
  <c r="P76" i="12"/>
  <c r="P74" i="12" s="1"/>
  <c r="O76" i="12"/>
  <c r="O74" i="12" s="1"/>
  <c r="N76" i="12"/>
  <c r="N74" i="12" s="1"/>
  <c r="M76" i="12"/>
  <c r="M74" i="12" s="1"/>
  <c r="JW74" i="12"/>
  <c r="JV74" i="12"/>
  <c r="JU74" i="12"/>
  <c r="JT74" i="12"/>
  <c r="JS74" i="12"/>
  <c r="JR74" i="12"/>
  <c r="JQ74" i="12"/>
  <c r="JP74" i="12"/>
  <c r="JO74" i="12"/>
  <c r="JN74" i="12"/>
  <c r="JM74" i="12"/>
  <c r="JL74" i="12"/>
  <c r="JK74" i="12"/>
  <c r="JJ74" i="12"/>
  <c r="JI74" i="12"/>
  <c r="JH74" i="12"/>
  <c r="JG74" i="12"/>
  <c r="JF74" i="12"/>
  <c r="JE74" i="12"/>
  <c r="JD74" i="12"/>
  <c r="JC74" i="12"/>
  <c r="JB74" i="12"/>
  <c r="JA74" i="12"/>
  <c r="IZ74" i="12"/>
  <c r="IY74" i="12"/>
  <c r="IX74" i="12"/>
  <c r="IW74" i="12"/>
  <c r="IV74" i="12"/>
  <c r="IU74" i="12"/>
  <c r="IT74" i="12"/>
  <c r="IS74" i="12"/>
  <c r="IR74" i="12"/>
  <c r="IQ74" i="12"/>
  <c r="IP74" i="12"/>
  <c r="IO74" i="12"/>
  <c r="IN74" i="12"/>
  <c r="IM74" i="12"/>
  <c r="IL74" i="12"/>
  <c r="IK74" i="12"/>
  <c r="IJ74" i="12"/>
  <c r="II74" i="12"/>
  <c r="IH74" i="12"/>
  <c r="IG74" i="12"/>
  <c r="IF74" i="12"/>
  <c r="IE74" i="12"/>
  <c r="ID74" i="12"/>
  <c r="IC74" i="12"/>
  <c r="IB74" i="12"/>
  <c r="IA74" i="12"/>
  <c r="HZ74" i="12"/>
  <c r="HY74" i="12"/>
  <c r="HX74" i="12"/>
  <c r="HW74" i="12"/>
  <c r="HV74" i="12"/>
  <c r="HU74" i="12"/>
  <c r="HT74" i="12"/>
  <c r="HS74" i="12"/>
  <c r="HR74" i="12"/>
  <c r="HQ74" i="12"/>
  <c r="HP74" i="12"/>
  <c r="HO74" i="12"/>
  <c r="HN74" i="12"/>
  <c r="HM74" i="12"/>
  <c r="HL74" i="12"/>
  <c r="HK74" i="12"/>
  <c r="HJ74" i="12"/>
  <c r="HI74" i="12"/>
  <c r="B74" i="12"/>
  <c r="L76" i="12" s="1"/>
  <c r="L74" i="12" s="1"/>
  <c r="B73" i="12"/>
  <c r="B70" i="12"/>
  <c r="H69" i="12"/>
  <c r="F46" i="12"/>
  <c r="E46" i="12"/>
  <c r="D46" i="12"/>
  <c r="C46" i="12"/>
  <c r="B46" i="12"/>
  <c r="A46" i="12"/>
  <c r="F45" i="12"/>
  <c r="E45" i="12"/>
  <c r="D45" i="12"/>
  <c r="C45" i="12"/>
  <c r="B45" i="12"/>
  <c r="A45" i="12"/>
  <c r="F44" i="12"/>
  <c r="E44" i="12"/>
  <c r="D44" i="12"/>
  <c r="C44" i="12"/>
  <c r="B44" i="12"/>
  <c r="A44" i="12"/>
  <c r="F43" i="12"/>
  <c r="E43" i="12"/>
  <c r="D43" i="12"/>
  <c r="C43" i="12"/>
  <c r="B43" i="12"/>
  <c r="A43" i="12"/>
  <c r="F42" i="12"/>
  <c r="E42" i="12"/>
  <c r="D42" i="12"/>
  <c r="C42" i="12"/>
  <c r="B42" i="12"/>
  <c r="A42" i="12"/>
  <c r="EW41" i="12"/>
  <c r="EW39" i="12" s="1"/>
  <c r="EV41" i="12"/>
  <c r="EV39" i="12" s="1"/>
  <c r="EU41" i="12"/>
  <c r="EU39" i="12" s="1"/>
  <c r="ET41" i="12"/>
  <c r="ET39" i="12" s="1"/>
  <c r="ES41" i="12"/>
  <c r="ES39" i="12" s="1"/>
  <c r="ER41" i="12"/>
  <c r="ER39" i="12" s="1"/>
  <c r="EQ41" i="12"/>
  <c r="EQ39" i="12" s="1"/>
  <c r="EP41" i="12"/>
  <c r="EP39" i="12" s="1"/>
  <c r="EO41" i="12"/>
  <c r="EO39" i="12" s="1"/>
  <c r="EN41" i="12"/>
  <c r="EN39" i="12" s="1"/>
  <c r="EM41" i="12"/>
  <c r="EM39" i="12" s="1"/>
  <c r="EL41" i="12"/>
  <c r="EL39" i="12" s="1"/>
  <c r="EK41" i="12"/>
  <c r="EK39" i="12" s="1"/>
  <c r="EJ41" i="12"/>
  <c r="EJ39" i="12" s="1"/>
  <c r="EI41" i="12"/>
  <c r="EI39" i="12" s="1"/>
  <c r="EH41" i="12"/>
  <c r="EH39" i="12" s="1"/>
  <c r="EG41" i="12"/>
  <c r="EG39" i="12" s="1"/>
  <c r="EF41" i="12"/>
  <c r="EF39" i="12" s="1"/>
  <c r="EE41" i="12"/>
  <c r="EE39" i="12" s="1"/>
  <c r="ED41" i="12"/>
  <c r="ED39" i="12" s="1"/>
  <c r="EC41" i="12"/>
  <c r="EC39" i="12" s="1"/>
  <c r="EB41" i="12"/>
  <c r="EB39" i="12" s="1"/>
  <c r="EA41" i="12"/>
  <c r="EA39" i="12" s="1"/>
  <c r="DZ41" i="12"/>
  <c r="DZ39" i="12" s="1"/>
  <c r="DY41" i="12"/>
  <c r="DY39" i="12" s="1"/>
  <c r="DX41" i="12"/>
  <c r="DX39" i="12" s="1"/>
  <c r="DW41" i="12"/>
  <c r="DW39" i="12" s="1"/>
  <c r="DV41" i="12"/>
  <c r="DV39" i="12" s="1"/>
  <c r="DU41" i="12"/>
  <c r="DU39" i="12" s="1"/>
  <c r="DT41" i="12"/>
  <c r="DT39" i="12" s="1"/>
  <c r="DS41" i="12"/>
  <c r="DS39" i="12" s="1"/>
  <c r="DR41" i="12"/>
  <c r="DR39" i="12" s="1"/>
  <c r="DQ41" i="12"/>
  <c r="DQ39" i="12" s="1"/>
  <c r="DP41" i="12"/>
  <c r="DP39" i="12" s="1"/>
  <c r="DO41" i="12"/>
  <c r="DO39" i="12" s="1"/>
  <c r="DN41" i="12"/>
  <c r="DN39" i="12" s="1"/>
  <c r="DM41" i="12"/>
  <c r="DM39" i="12" s="1"/>
  <c r="DL41" i="12"/>
  <c r="DL39" i="12" s="1"/>
  <c r="DK41" i="12"/>
  <c r="DK39" i="12" s="1"/>
  <c r="DJ41" i="12"/>
  <c r="DJ39" i="12" s="1"/>
  <c r="DI41" i="12"/>
  <c r="DI39" i="12" s="1"/>
  <c r="DH41" i="12"/>
  <c r="DH39" i="12" s="1"/>
  <c r="DG41" i="12"/>
  <c r="DG39" i="12" s="1"/>
  <c r="DF41" i="12"/>
  <c r="DF39" i="12" s="1"/>
  <c r="DE41" i="12"/>
  <c r="DE39" i="12" s="1"/>
  <c r="DD41" i="12"/>
  <c r="DD39" i="12" s="1"/>
  <c r="DC41" i="12"/>
  <c r="DC39" i="12" s="1"/>
  <c r="DB41" i="12"/>
  <c r="DB39" i="12" s="1"/>
  <c r="DA41" i="12"/>
  <c r="DA39" i="12" s="1"/>
  <c r="CZ41" i="12"/>
  <c r="CZ39" i="12" s="1"/>
  <c r="CY41" i="12"/>
  <c r="CY39" i="12" s="1"/>
  <c r="CX41" i="12"/>
  <c r="CX39" i="12" s="1"/>
  <c r="CW41" i="12"/>
  <c r="CW39" i="12" s="1"/>
  <c r="CV41" i="12"/>
  <c r="CV39" i="12" s="1"/>
  <c r="CU41" i="12"/>
  <c r="CU39" i="12" s="1"/>
  <c r="CT41" i="12"/>
  <c r="CT39" i="12" s="1"/>
  <c r="CS41" i="12"/>
  <c r="CS39" i="12" s="1"/>
  <c r="CR41" i="12"/>
  <c r="CR39" i="12" s="1"/>
  <c r="CQ41" i="12"/>
  <c r="CQ39" i="12" s="1"/>
  <c r="CP41" i="12"/>
  <c r="CP39" i="12" s="1"/>
  <c r="CO41" i="12"/>
  <c r="CO39" i="12" s="1"/>
  <c r="CN41" i="12"/>
  <c r="CN39" i="12" s="1"/>
  <c r="CM41" i="12"/>
  <c r="CM39" i="12" s="1"/>
  <c r="CL41" i="12"/>
  <c r="CL39" i="12" s="1"/>
  <c r="CK41" i="12"/>
  <c r="CK39" i="12" s="1"/>
  <c r="CJ41" i="12"/>
  <c r="CJ39" i="12" s="1"/>
  <c r="CI41" i="12"/>
  <c r="CI39" i="12" s="1"/>
  <c r="CH41" i="12"/>
  <c r="CH39" i="12" s="1"/>
  <c r="CG41" i="12"/>
  <c r="CG39" i="12" s="1"/>
  <c r="CF41" i="12"/>
  <c r="CF39" i="12" s="1"/>
  <c r="CE41" i="12"/>
  <c r="CE39" i="12" s="1"/>
  <c r="CD41" i="12"/>
  <c r="CD39" i="12" s="1"/>
  <c r="CC41" i="12"/>
  <c r="CC39" i="12" s="1"/>
  <c r="CB41" i="12"/>
  <c r="CB39" i="12" s="1"/>
  <c r="CA41" i="12"/>
  <c r="CA39" i="12" s="1"/>
  <c r="BZ41" i="12"/>
  <c r="BZ39" i="12" s="1"/>
  <c r="BY41" i="12"/>
  <c r="BY39" i="12" s="1"/>
  <c r="BX41" i="12"/>
  <c r="BX39" i="12" s="1"/>
  <c r="BW41" i="12"/>
  <c r="BW39" i="12" s="1"/>
  <c r="BV41" i="12"/>
  <c r="BV39" i="12" s="1"/>
  <c r="BU41" i="12"/>
  <c r="BU39" i="12" s="1"/>
  <c r="BT41" i="12"/>
  <c r="BT39" i="12" s="1"/>
  <c r="BS41" i="12"/>
  <c r="BS39" i="12" s="1"/>
  <c r="BR41" i="12"/>
  <c r="BR39" i="12" s="1"/>
  <c r="BQ41" i="12"/>
  <c r="BQ39" i="12" s="1"/>
  <c r="BP41" i="12"/>
  <c r="BP39" i="12" s="1"/>
  <c r="BO41" i="12"/>
  <c r="BO39" i="12" s="1"/>
  <c r="BN41" i="12"/>
  <c r="BN39" i="12" s="1"/>
  <c r="BM41" i="12"/>
  <c r="BM39" i="12" s="1"/>
  <c r="BL41" i="12"/>
  <c r="BL39" i="12" s="1"/>
  <c r="BK41" i="12"/>
  <c r="BK39" i="12" s="1"/>
  <c r="BJ41" i="12"/>
  <c r="BJ39" i="12" s="1"/>
  <c r="BI41" i="12"/>
  <c r="BI39" i="12" s="1"/>
  <c r="BH41" i="12"/>
  <c r="BH39" i="12" s="1"/>
  <c r="BG41" i="12"/>
  <c r="BG39" i="12" s="1"/>
  <c r="BF41" i="12"/>
  <c r="BF39" i="12" s="1"/>
  <c r="BE41" i="12"/>
  <c r="BE39" i="12" s="1"/>
  <c r="BD41" i="12"/>
  <c r="BD39" i="12" s="1"/>
  <c r="BC41" i="12"/>
  <c r="BC39" i="12" s="1"/>
  <c r="BB41" i="12"/>
  <c r="BB39" i="12" s="1"/>
  <c r="BA41" i="12"/>
  <c r="BA39" i="12" s="1"/>
  <c r="AZ41" i="12"/>
  <c r="AZ39" i="12" s="1"/>
  <c r="AY41" i="12"/>
  <c r="AY39" i="12" s="1"/>
  <c r="AX41" i="12"/>
  <c r="AX39" i="12" s="1"/>
  <c r="AW41" i="12"/>
  <c r="AW39" i="12" s="1"/>
  <c r="AV41" i="12"/>
  <c r="AV39" i="12" s="1"/>
  <c r="AU41" i="12"/>
  <c r="AU39" i="12" s="1"/>
  <c r="AT41" i="12"/>
  <c r="AT39" i="12" s="1"/>
  <c r="AS41" i="12"/>
  <c r="AS39" i="12" s="1"/>
  <c r="AR41" i="12"/>
  <c r="AR39" i="12" s="1"/>
  <c r="AQ41" i="12"/>
  <c r="AQ39" i="12" s="1"/>
  <c r="AP41" i="12"/>
  <c r="AP39" i="12" s="1"/>
  <c r="AO41" i="12"/>
  <c r="AO39" i="12" s="1"/>
  <c r="AN41" i="12"/>
  <c r="AN39" i="12" s="1"/>
  <c r="AM41" i="12"/>
  <c r="AM39" i="12" s="1"/>
  <c r="AL41" i="12"/>
  <c r="AL39" i="12" s="1"/>
  <c r="AK41" i="12"/>
  <c r="AK39" i="12" s="1"/>
  <c r="AJ41" i="12"/>
  <c r="AJ39" i="12" s="1"/>
  <c r="AI41" i="12"/>
  <c r="AI39" i="12" s="1"/>
  <c r="AH41" i="12"/>
  <c r="AH39" i="12" s="1"/>
  <c r="AG41" i="12"/>
  <c r="AG39" i="12" s="1"/>
  <c r="AF41" i="12"/>
  <c r="AF39" i="12" s="1"/>
  <c r="AE41" i="12"/>
  <c r="AE39" i="12" s="1"/>
  <c r="AD41" i="12"/>
  <c r="AD39" i="12" s="1"/>
  <c r="AC41" i="12"/>
  <c r="AC39" i="12" s="1"/>
  <c r="AB41" i="12"/>
  <c r="AB39" i="12" s="1"/>
  <c r="AA41" i="12"/>
  <c r="AA39" i="12" s="1"/>
  <c r="Z41" i="12"/>
  <c r="Z39" i="12" s="1"/>
  <c r="Y41" i="12"/>
  <c r="Y39" i="12" s="1"/>
  <c r="X41" i="12"/>
  <c r="X39" i="12" s="1"/>
  <c r="W41" i="12"/>
  <c r="W39" i="12" s="1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B39" i="12"/>
  <c r="L41" i="12" s="1"/>
  <c r="T41" i="12" s="1"/>
  <c r="T39" i="12" s="1"/>
  <c r="B38" i="12"/>
  <c r="F34" i="12"/>
  <c r="E34" i="12"/>
  <c r="D34" i="12"/>
  <c r="C34" i="12"/>
  <c r="B34" i="12"/>
  <c r="A34" i="12"/>
  <c r="F33" i="12"/>
  <c r="E33" i="12"/>
  <c r="D33" i="12"/>
  <c r="C33" i="12"/>
  <c r="B33" i="12"/>
  <c r="A33" i="12"/>
  <c r="F32" i="12"/>
  <c r="E32" i="12"/>
  <c r="D32" i="12"/>
  <c r="C32" i="12"/>
  <c r="B32" i="12"/>
  <c r="A32" i="12"/>
  <c r="F31" i="12"/>
  <c r="E31" i="12"/>
  <c r="D31" i="12"/>
  <c r="C31" i="12"/>
  <c r="B31" i="12"/>
  <c r="A31" i="12"/>
  <c r="F30" i="12"/>
  <c r="E30" i="12"/>
  <c r="D30" i="12"/>
  <c r="C30" i="12"/>
  <c r="B30" i="12"/>
  <c r="A30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O27" i="12" s="1"/>
  <c r="DN29" i="12"/>
  <c r="DM29" i="12"/>
  <c r="DM27" i="12" s="1"/>
  <c r="DL29" i="12"/>
  <c r="DL27" i="12" s="1"/>
  <c r="DK29" i="12"/>
  <c r="DK27" i="12" s="1"/>
  <c r="DJ29" i="12"/>
  <c r="DJ27" i="12" s="1"/>
  <c r="DI29" i="12"/>
  <c r="DI27" i="12" s="1"/>
  <c r="DH29" i="12"/>
  <c r="DH27" i="12" s="1"/>
  <c r="DG29" i="12"/>
  <c r="DG27" i="12" s="1"/>
  <c r="DF29" i="12"/>
  <c r="DF27" i="12" s="1"/>
  <c r="DE29" i="12"/>
  <c r="DD29" i="12"/>
  <c r="DD27" i="12" s="1"/>
  <c r="DC29" i="12"/>
  <c r="DC27" i="12" s="1"/>
  <c r="DB29" i="12"/>
  <c r="DB27" i="12" s="1"/>
  <c r="DA29" i="12"/>
  <c r="DA27" i="12" s="1"/>
  <c r="CZ29" i="12"/>
  <c r="CZ27" i="12" s="1"/>
  <c r="CY29" i="12"/>
  <c r="CY27" i="12" s="1"/>
  <c r="CX29" i="12"/>
  <c r="CX27" i="12" s="1"/>
  <c r="CW29" i="12"/>
  <c r="CW27" i="12" s="1"/>
  <c r="CV29" i="12"/>
  <c r="CV27" i="12" s="1"/>
  <c r="CU29" i="12"/>
  <c r="CU27" i="12" s="1"/>
  <c r="CT29" i="12"/>
  <c r="CT27" i="12" s="1"/>
  <c r="CS29" i="12"/>
  <c r="CS27" i="12" s="1"/>
  <c r="CR29" i="12"/>
  <c r="CR27" i="12" s="1"/>
  <c r="CQ29" i="12"/>
  <c r="CQ27" i="12" s="1"/>
  <c r="CP29" i="12"/>
  <c r="CP27" i="12" s="1"/>
  <c r="CO29" i="12"/>
  <c r="CO27" i="12" s="1"/>
  <c r="CN29" i="12"/>
  <c r="CN27" i="12" s="1"/>
  <c r="CM29" i="12"/>
  <c r="CM27" i="12" s="1"/>
  <c r="CL29" i="12"/>
  <c r="CL27" i="12" s="1"/>
  <c r="CK29" i="12"/>
  <c r="CK27" i="12" s="1"/>
  <c r="CJ29" i="12"/>
  <c r="CJ27" i="12" s="1"/>
  <c r="CI29" i="12"/>
  <c r="CI27" i="12" s="1"/>
  <c r="CH29" i="12"/>
  <c r="CH27" i="12" s="1"/>
  <c r="CG29" i="12"/>
  <c r="CG27" i="12" s="1"/>
  <c r="CF29" i="12"/>
  <c r="CF27" i="12" s="1"/>
  <c r="CE29" i="12"/>
  <c r="CE27" i="12" s="1"/>
  <c r="CD29" i="12"/>
  <c r="CD27" i="12" s="1"/>
  <c r="CC29" i="12"/>
  <c r="CC27" i="12" s="1"/>
  <c r="CB29" i="12"/>
  <c r="CB27" i="12" s="1"/>
  <c r="CA29" i="12"/>
  <c r="CA27" i="12" s="1"/>
  <c r="BZ29" i="12"/>
  <c r="BZ27" i="12" s="1"/>
  <c r="BY29" i="12"/>
  <c r="BY27" i="12" s="1"/>
  <c r="BX29" i="12"/>
  <c r="BX27" i="12" s="1"/>
  <c r="BW29" i="12"/>
  <c r="BW27" i="12" s="1"/>
  <c r="BV29" i="12"/>
  <c r="BV27" i="12" s="1"/>
  <c r="BU29" i="12"/>
  <c r="BU27" i="12" s="1"/>
  <c r="BT29" i="12"/>
  <c r="BT27" i="12" s="1"/>
  <c r="BS29" i="12"/>
  <c r="BS27" i="12" s="1"/>
  <c r="BR29" i="12"/>
  <c r="BR27" i="12" s="1"/>
  <c r="BQ29" i="12"/>
  <c r="BQ27" i="12" s="1"/>
  <c r="BP29" i="12"/>
  <c r="BP27" i="12" s="1"/>
  <c r="BO29" i="12"/>
  <c r="BO27" i="12" s="1"/>
  <c r="BN29" i="12"/>
  <c r="BN27" i="12" s="1"/>
  <c r="BM29" i="12"/>
  <c r="BM27" i="12" s="1"/>
  <c r="BL29" i="12"/>
  <c r="BL27" i="12" s="1"/>
  <c r="BK29" i="12"/>
  <c r="BK27" i="12" s="1"/>
  <c r="BJ29" i="12"/>
  <c r="BJ27" i="12" s="1"/>
  <c r="BI29" i="12"/>
  <c r="BI27" i="12" s="1"/>
  <c r="BH29" i="12"/>
  <c r="BH27" i="12" s="1"/>
  <c r="BG29" i="12"/>
  <c r="BG27" i="12" s="1"/>
  <c r="BF29" i="12"/>
  <c r="BF27" i="12" s="1"/>
  <c r="BE29" i="12"/>
  <c r="BE27" i="12" s="1"/>
  <c r="BD29" i="12"/>
  <c r="BD27" i="12" s="1"/>
  <c r="BC29" i="12"/>
  <c r="BC27" i="12" s="1"/>
  <c r="BB29" i="12"/>
  <c r="BB27" i="12" s="1"/>
  <c r="BA29" i="12"/>
  <c r="BA27" i="12" s="1"/>
  <c r="AZ29" i="12"/>
  <c r="AZ27" i="12" s="1"/>
  <c r="AY29" i="12"/>
  <c r="AY27" i="12" s="1"/>
  <c r="AX29" i="12"/>
  <c r="AX27" i="12" s="1"/>
  <c r="AW29" i="12"/>
  <c r="AW27" i="12" s="1"/>
  <c r="AV29" i="12"/>
  <c r="AV27" i="12" s="1"/>
  <c r="AU29" i="12"/>
  <c r="AU27" i="12" s="1"/>
  <c r="AT29" i="12"/>
  <c r="AT27" i="12" s="1"/>
  <c r="AS29" i="12"/>
  <c r="AS27" i="12" s="1"/>
  <c r="AR29" i="12"/>
  <c r="AR27" i="12" s="1"/>
  <c r="AQ29" i="12"/>
  <c r="AQ27" i="12" s="1"/>
  <c r="AP29" i="12"/>
  <c r="AP27" i="12" s="1"/>
  <c r="AO29" i="12"/>
  <c r="AO27" i="12" s="1"/>
  <c r="AN29" i="12"/>
  <c r="AN27" i="12" s="1"/>
  <c r="AM29" i="12"/>
  <c r="AM27" i="12" s="1"/>
  <c r="AL29" i="12"/>
  <c r="AL27" i="12" s="1"/>
  <c r="AK29" i="12"/>
  <c r="AK27" i="12" s="1"/>
  <c r="AJ29" i="12"/>
  <c r="AJ27" i="12" s="1"/>
  <c r="AI29" i="12"/>
  <c r="AI27" i="12" s="1"/>
  <c r="AH29" i="12"/>
  <c r="AH27" i="12" s="1"/>
  <c r="AG29" i="12"/>
  <c r="AG27" i="12" s="1"/>
  <c r="AF29" i="12"/>
  <c r="AF27" i="12" s="1"/>
  <c r="AE29" i="12"/>
  <c r="AE27" i="12" s="1"/>
  <c r="AD29" i="12"/>
  <c r="AD27" i="12" s="1"/>
  <c r="AC29" i="12"/>
  <c r="AC27" i="12" s="1"/>
  <c r="AB29" i="12"/>
  <c r="AB27" i="12" s="1"/>
  <c r="AA29" i="12"/>
  <c r="AA27" i="12" s="1"/>
  <c r="Z29" i="12"/>
  <c r="Z27" i="12" s="1"/>
  <c r="Y29" i="12"/>
  <c r="Y27" i="12" s="1"/>
  <c r="X29" i="12"/>
  <c r="X27" i="12" s="1"/>
  <c r="W29" i="12"/>
  <c r="W27" i="12" s="1"/>
  <c r="DN27" i="12"/>
  <c r="DE27" i="12"/>
  <c r="B27" i="12"/>
  <c r="L29" i="12" s="1"/>
  <c r="B26" i="12"/>
  <c r="F20" i="12"/>
  <c r="E20" i="12"/>
  <c r="D20" i="12"/>
  <c r="C20" i="12"/>
  <c r="B20" i="12"/>
  <c r="A20" i="12"/>
  <c r="C19" i="12"/>
  <c r="B19" i="12"/>
  <c r="A19" i="12"/>
  <c r="C18" i="12"/>
  <c r="B18" i="12"/>
  <c r="A18" i="12"/>
  <c r="C17" i="12"/>
  <c r="B17" i="12"/>
  <c r="A17" i="12"/>
  <c r="C16" i="12"/>
  <c r="B16" i="12"/>
  <c r="A16" i="12"/>
  <c r="BW15" i="12"/>
  <c r="BW13" i="12" s="1"/>
  <c r="BV15" i="12"/>
  <c r="BU15" i="12"/>
  <c r="BU13" i="12" s="1"/>
  <c r="BT15" i="12"/>
  <c r="BT13" i="12" s="1"/>
  <c r="BS15" i="12"/>
  <c r="BS13" i="12" s="1"/>
  <c r="BR15" i="12"/>
  <c r="BR13" i="12" s="1"/>
  <c r="BQ15" i="12"/>
  <c r="BQ13" i="12" s="1"/>
  <c r="BP15" i="12"/>
  <c r="BP13" i="12" s="1"/>
  <c r="BO15" i="12"/>
  <c r="BO13" i="12" s="1"/>
  <c r="BN15" i="12"/>
  <c r="BN13" i="12" s="1"/>
  <c r="BM15" i="12"/>
  <c r="BM13" i="12" s="1"/>
  <c r="BL15" i="12"/>
  <c r="BL13" i="12" s="1"/>
  <c r="BK15" i="12"/>
  <c r="BK13" i="12" s="1"/>
  <c r="BJ15" i="12"/>
  <c r="BJ13" i="12" s="1"/>
  <c r="BI15" i="12"/>
  <c r="BI13" i="12" s="1"/>
  <c r="BH15" i="12"/>
  <c r="BH13" i="12" s="1"/>
  <c r="BG15" i="12"/>
  <c r="BG13" i="12" s="1"/>
  <c r="BF15" i="12"/>
  <c r="BF13" i="12" s="1"/>
  <c r="BE15" i="12"/>
  <c r="BE13" i="12" s="1"/>
  <c r="BD15" i="12"/>
  <c r="BD13" i="12" s="1"/>
  <c r="BC15" i="12"/>
  <c r="BC13" i="12" s="1"/>
  <c r="BB15" i="12"/>
  <c r="BB13" i="12" s="1"/>
  <c r="BA15" i="12"/>
  <c r="BA13" i="12" s="1"/>
  <c r="AZ15" i="12"/>
  <c r="AZ13" i="12" s="1"/>
  <c r="AY15" i="12"/>
  <c r="AY13" i="12" s="1"/>
  <c r="AX15" i="12"/>
  <c r="AX13" i="12" s="1"/>
  <c r="AW15" i="12"/>
  <c r="AW13" i="12" s="1"/>
  <c r="AV15" i="12"/>
  <c r="AV13" i="12" s="1"/>
  <c r="AU15" i="12"/>
  <c r="AU13" i="12" s="1"/>
  <c r="AT15" i="12"/>
  <c r="AT13" i="12" s="1"/>
  <c r="AS15" i="12"/>
  <c r="AS13" i="12" s="1"/>
  <c r="AR15" i="12"/>
  <c r="AR13" i="12" s="1"/>
  <c r="AQ15" i="12"/>
  <c r="AQ13" i="12" s="1"/>
  <c r="AP15" i="12"/>
  <c r="AP13" i="12" s="1"/>
  <c r="AO15" i="12"/>
  <c r="AO13" i="12" s="1"/>
  <c r="AN15" i="12"/>
  <c r="AN13" i="12" s="1"/>
  <c r="AM15" i="12"/>
  <c r="AM13" i="12" s="1"/>
  <c r="AL15" i="12"/>
  <c r="AL13" i="12" s="1"/>
  <c r="AK15" i="12"/>
  <c r="AK13" i="12" s="1"/>
  <c r="AJ15" i="12"/>
  <c r="AJ13" i="12" s="1"/>
  <c r="AI15" i="12"/>
  <c r="AI13" i="12" s="1"/>
  <c r="AH15" i="12"/>
  <c r="AH13" i="12" s="1"/>
  <c r="AG15" i="12"/>
  <c r="AG13" i="12" s="1"/>
  <c r="AF15" i="12"/>
  <c r="AF13" i="12" s="1"/>
  <c r="AE15" i="12"/>
  <c r="AE13" i="12" s="1"/>
  <c r="AD15" i="12"/>
  <c r="AD13" i="12" s="1"/>
  <c r="AC15" i="12"/>
  <c r="AC13" i="12" s="1"/>
  <c r="AB15" i="12"/>
  <c r="AB13" i="12" s="1"/>
  <c r="AA15" i="12"/>
  <c r="AA13" i="12" s="1"/>
  <c r="Z15" i="12"/>
  <c r="Z13" i="12" s="1"/>
  <c r="Y15" i="12"/>
  <c r="Y13" i="12" s="1"/>
  <c r="X15" i="12"/>
  <c r="X13" i="12" s="1"/>
  <c r="W15" i="12"/>
  <c r="W13" i="12" s="1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V13" i="12"/>
  <c r="B13" i="12"/>
  <c r="L15" i="12" s="1"/>
  <c r="B12" i="12"/>
  <c r="B9" i="12"/>
  <c r="B8" i="12"/>
  <c r="B7" i="12"/>
  <c r="B5" i="12"/>
  <c r="K76" i="12" l="1"/>
  <c r="J76" i="12" s="1"/>
  <c r="L120" i="12"/>
  <c r="F49" i="12"/>
  <c r="C8" i="12"/>
  <c r="T29" i="12"/>
  <c r="T27" i="12" s="1"/>
  <c r="S29" i="12"/>
  <c r="S27" i="12" s="1"/>
  <c r="P29" i="12"/>
  <c r="P27" i="12" s="1"/>
  <c r="L27" i="12"/>
  <c r="M29" i="12"/>
  <c r="L151" i="12"/>
  <c r="S15" i="12"/>
  <c r="S13" i="12" s="1"/>
  <c r="K15" i="12"/>
  <c r="R15" i="12"/>
  <c r="R13" i="12" s="1"/>
  <c r="Q15" i="12"/>
  <c r="Q13" i="12" s="1"/>
  <c r="L13" i="12"/>
  <c r="P15" i="12"/>
  <c r="P13" i="12" s="1"/>
  <c r="O15" i="12"/>
  <c r="O13" i="12" s="1"/>
  <c r="V15" i="12"/>
  <c r="V13" i="12" s="1"/>
  <c r="N15" i="12"/>
  <c r="N13" i="12" s="1"/>
  <c r="M15" i="12"/>
  <c r="M13" i="12" s="1"/>
  <c r="T15" i="12"/>
  <c r="T13" i="12" s="1"/>
  <c r="U15" i="12"/>
  <c r="U13" i="12" s="1"/>
  <c r="O29" i="12"/>
  <c r="O27" i="12" s="1"/>
  <c r="N41" i="12"/>
  <c r="N39" i="12" s="1"/>
  <c r="P41" i="12"/>
  <c r="P39" i="12" s="1"/>
  <c r="Q29" i="12"/>
  <c r="Q27" i="12" s="1"/>
  <c r="Q41" i="12"/>
  <c r="Q39" i="12" s="1"/>
  <c r="K88" i="12"/>
  <c r="L86" i="12"/>
  <c r="R29" i="12"/>
  <c r="R27" i="12" s="1"/>
  <c r="O41" i="12"/>
  <c r="O39" i="12" s="1"/>
  <c r="U41" i="12"/>
  <c r="U39" i="12" s="1"/>
  <c r="M41" i="12"/>
  <c r="M39" i="12" s="1"/>
  <c r="S41" i="12"/>
  <c r="S39" i="12" s="1"/>
  <c r="K41" i="12"/>
  <c r="R41" i="12"/>
  <c r="R39" i="12" s="1"/>
  <c r="L39" i="12"/>
  <c r="V41" i="12"/>
  <c r="V39" i="12" s="1"/>
  <c r="K29" i="12"/>
  <c r="V29" i="12"/>
  <c r="V27" i="12" s="1"/>
  <c r="N29" i="12"/>
  <c r="N27" i="12" s="1"/>
  <c r="U29" i="12"/>
  <c r="U27" i="12" s="1"/>
  <c r="F96" i="12"/>
  <c r="K74" i="12" l="1"/>
  <c r="K120" i="12"/>
  <c r="L118" i="12"/>
  <c r="I76" i="12"/>
  <c r="J74" i="12"/>
  <c r="L149" i="12"/>
  <c r="K151" i="12"/>
  <c r="J29" i="12"/>
  <c r="K27" i="12"/>
  <c r="J41" i="12"/>
  <c r="K39" i="12"/>
  <c r="J88" i="12"/>
  <c r="K86" i="12"/>
  <c r="K13" i="12"/>
  <c r="J15" i="12"/>
  <c r="I74" i="12" l="1"/>
  <c r="H76" i="12"/>
  <c r="K118" i="12"/>
  <c r="J120" i="12"/>
  <c r="J151" i="12"/>
  <c r="K149" i="12"/>
  <c r="I15" i="12"/>
  <c r="J13" i="12"/>
  <c r="I88" i="12"/>
  <c r="J86" i="12"/>
  <c r="J39" i="12"/>
  <c r="I41" i="12"/>
  <c r="I29" i="12"/>
  <c r="J27" i="12"/>
  <c r="J118" i="12" l="1"/>
  <c r="I120" i="12"/>
  <c r="G76" i="12"/>
  <c r="G74" i="12" s="1"/>
  <c r="H74" i="12"/>
  <c r="I151" i="12"/>
  <c r="J149" i="12"/>
  <c r="H15" i="12"/>
  <c r="I13" i="12"/>
  <c r="H88" i="12"/>
  <c r="I86" i="12"/>
  <c r="H29" i="12"/>
  <c r="I27" i="12"/>
  <c r="H41" i="12"/>
  <c r="I39" i="12"/>
  <c r="I118" i="12" l="1"/>
  <c r="H120" i="12"/>
  <c r="H151" i="12"/>
  <c r="I149" i="12"/>
  <c r="G29" i="12"/>
  <c r="G27" i="12" s="1"/>
  <c r="H27" i="12"/>
  <c r="G41" i="12"/>
  <c r="G39" i="12" s="1"/>
  <c r="H39" i="12"/>
  <c r="H86" i="12"/>
  <c r="G88" i="12"/>
  <c r="G86" i="12" s="1"/>
  <c r="G15" i="12"/>
  <c r="G13" i="12" s="1"/>
  <c r="H13" i="12"/>
  <c r="G120" i="12" l="1"/>
  <c r="G118" i="12" s="1"/>
  <c r="H118" i="12"/>
  <c r="G151" i="12"/>
  <c r="G149" i="12" s="1"/>
  <c r="H149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Grecia Prada</author>
  </authors>
  <commentList>
    <comment ref="AE1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Modificar de acuerdo al tiempo que demora esta actividad
</t>
        </r>
      </text>
    </comment>
    <comment ref="AF1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Modificar de acuerdo al tiempo que demora esta actividad
</t>
        </r>
      </text>
    </comment>
    <comment ref="AT1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Modificar de acuerdo al tiempo que demora esta actividad
</t>
        </r>
      </text>
    </comment>
    <comment ref="AU1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Modificar de acuerdo al tiempo que demora esta actividad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Gerson Carpio</author>
    <author>Yubitza Angeles</author>
    <author>Grecia Prada</author>
    <author>Franco Caycho</author>
    <author>Ximena Marquez</author>
  </authors>
  <commentList>
    <comment ref="B1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Gerson Carpio:</t>
        </r>
        <r>
          <rPr>
            <sz val="9"/>
            <color indexed="81"/>
            <rFont val="Tahoma"/>
            <family val="2"/>
          </rPr>
          <t xml:space="preserve">
Primera merienda</t>
        </r>
      </text>
    </comment>
    <comment ref="B14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FC:</t>
        </r>
        <r>
          <rPr>
            <sz val="9"/>
            <color indexed="81"/>
            <rFont val="Tahoma"/>
            <family val="2"/>
          </rPr>
          <t xml:space="preserve">
$225. Costos incluyen alojamiento, alimentación, combustible
$300 (Costo total incluido IGV)
GC: Se ha considerado 1 camioneta para trinchera y 1 para calicata</t>
        </r>
      </text>
    </comment>
    <comment ref="B15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FC:
</t>
        </r>
        <r>
          <rPr>
            <sz val="9"/>
            <color indexed="81"/>
            <rFont val="Tahoma"/>
            <family val="2"/>
          </rPr>
          <t>$330 turno día y noche
$440 (costo total incluido IGV)</t>
        </r>
      </text>
    </comment>
    <comment ref="E16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Grecia Prada:</t>
        </r>
        <r>
          <rPr>
            <sz val="9"/>
            <color indexed="81"/>
            <rFont val="Tahoma"/>
            <family val="2"/>
          </rPr>
          <t xml:space="preserve">
Precio promedio de hospedaje CA
</t>
        </r>
      </text>
    </comment>
    <comment ref="E17" authorId="2" shapeId="0" xr:uid="{00000000-0006-0000-0200-000005000000}">
      <text>
        <r>
          <rPr>
            <b/>
            <sz val="9"/>
            <color indexed="81"/>
            <rFont val="Tahoma"/>
            <family val="2"/>
          </rPr>
          <t>Grecia Prada:
Desayuno + Cena 
Almuerzo En MARCOBRE</t>
        </r>
      </text>
    </comment>
    <comment ref="B21" authorId="3" shapeId="0" xr:uid="{00000000-0006-0000-0200-000006000000}">
      <text>
        <r>
          <rPr>
            <b/>
            <sz val="9"/>
            <color indexed="81"/>
            <rFont val="Tahoma"/>
            <family val="2"/>
          </rPr>
          <t>Franco Caycho:</t>
        </r>
        <r>
          <rPr>
            <sz val="9"/>
            <color indexed="81"/>
            <rFont val="Tahoma"/>
            <family val="2"/>
          </rPr>
          <t xml:space="preserve">
170 soles/mes (49 dolares/mes)
Costo del Equipo 380 dolares
El servicio de campo dura 3 meses aproximadamente
(130dolares/mes)
Total 180dolares/mes</t>
        </r>
      </text>
    </comment>
    <comment ref="B25" authorId="4" shapeId="0" xr:uid="{00000000-0006-0000-0200-000007000000}">
      <text>
        <r>
          <rPr>
            <b/>
            <sz val="9"/>
            <color indexed="81"/>
            <rFont val="Tahoma"/>
            <family val="2"/>
          </rPr>
          <t>Ximena Marquez:</t>
        </r>
        <r>
          <rPr>
            <sz val="9"/>
            <color indexed="81"/>
            <rFont val="Tahoma"/>
            <family val="2"/>
          </rPr>
          <t xml:space="preserve">
2chaleco azul y 2camisas con doble cinta reflectiva + casco + termico+lentes+poncho p/lluvia</t>
        </r>
      </text>
    </comment>
    <comment ref="B26" authorId="3" shapeId="0" xr:uid="{00000000-0006-0000-0200-000008000000}">
      <text>
        <r>
          <rPr>
            <b/>
            <sz val="9"/>
            <color indexed="81"/>
            <rFont val="Tahoma"/>
            <family val="2"/>
          </rPr>
          <t>Franco Caycho:</t>
        </r>
        <r>
          <rPr>
            <sz val="9"/>
            <color indexed="81"/>
            <rFont val="Tahoma"/>
            <family val="2"/>
          </rPr>
          <t xml:space="preserve">
Aprox $1 = 1kg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Cornejo</author>
    <author>Harol Camara</author>
  </authors>
  <commentList>
    <comment ref="D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Colocar el número de la máquina que realizará la  perforación</t>
        </r>
      </text>
    </comment>
    <comment ref="D1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Colocar el número de la máquina que realizará el ensayo CPT</t>
        </r>
      </text>
    </comment>
    <comment ref="F56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Los días flexibles permiten extender el régimen de trabajo durante la última semana en que la máquina está operativa, evitando que el personal tenga que regresar a campo por 7 días. Si no se indica un valor para los días flexibles, se asumirá que es cero, lo que significa que se cumplirá estrictamente con el régimen establecido.</t>
        </r>
      </text>
    </comment>
    <comment ref="B92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Los rates mostrados son valores sugeridos de acuerdo al proyecto. El resto de estos valores se puede ecnontrar en la pestaña "Rates"</t>
        </r>
      </text>
    </comment>
    <comment ref="B98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Los rates mostrados son valores sugeridos de acuerdo al proyecto. El resto de estos valores se puede ecnontrar en la pestaña "Rates"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Cornejo</author>
  </authors>
  <commentList>
    <comment ref="B25" authorId="0" shapeId="0" xr:uid="{591DD3A5-8789-46D6-B04D-AD7B360195AB}">
      <text>
        <r>
          <rPr>
            <b/>
            <sz val="9"/>
            <color indexed="81"/>
            <rFont val="Tahoma"/>
            <family val="2"/>
          </rPr>
          <t>Los rates mostrados son valores sugeridos de acuerdo al proyecto. El resto de estos valores se puede ecnontrar en la pestaña "Rates"</t>
        </r>
      </text>
    </comment>
    <comment ref="B31" authorId="0" shapeId="0" xr:uid="{80FE07D8-21EC-47B4-9270-119C0E09ACF5}">
      <text>
        <r>
          <rPr>
            <b/>
            <sz val="9"/>
            <color indexed="81"/>
            <rFont val="Tahoma"/>
            <family val="2"/>
          </rPr>
          <t>Los rates mostrados son valores sugeridos de acuerdo al proyecto. El resto de estos valores se puede ecnontrar en la pestaña "Rates"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Yubitza Angeles</author>
  </authors>
  <commentList>
    <comment ref="I11" authorId="0" shapeId="0" xr:uid="{BC148020-3F72-4AE1-8412-5AB8BD41C7D1}">
      <text>
        <r>
          <rPr>
            <b/>
            <sz val="9"/>
            <color indexed="81"/>
            <rFont val="Tahoma"/>
            <family val="2"/>
          </rPr>
          <t>Yubitza Angeles:</t>
        </r>
        <r>
          <rPr>
            <sz val="9"/>
            <color indexed="81"/>
            <rFont val="Tahoma"/>
            <family val="2"/>
          </rPr>
          <t xml:space="preserve">
PARA PERFORACIONES (3Eng)
8h Ind General (Anexo 4)
4h Ind. Convivencia y nueva normalidad
6h Inducción para supervisores
2h Descargas eléctricas por tormentas
2h Trabajos cerca a fuentes de agua
3 h herramientas criticas
4 hrs materiales peligrosos</t>
        </r>
      </text>
    </comment>
    <comment ref="D16" authorId="0" shapeId="0" xr:uid="{946A06AB-EB9B-4039-99A6-073724131DCE}">
      <text>
        <r>
          <rPr>
            <b/>
            <sz val="9"/>
            <color indexed="81"/>
            <rFont val="Tahoma"/>
            <family val="2"/>
          </rPr>
          <t>Yubitza Angeles:</t>
        </r>
        <r>
          <rPr>
            <sz val="9"/>
            <color indexed="81"/>
            <rFont val="Tahoma"/>
            <family val="2"/>
          </rPr>
          <t xml:space="preserve">
Se suma 5 hr para completar el total de 29 hrs por Ing. De mapeo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 Camara</author>
  </authors>
  <commentList>
    <comment ref="F15" authorId="0" shapeId="0" xr:uid="{5A32ECC3-DF95-4EB2-8262-5F58F9D0759C}">
      <text>
        <r>
          <rPr>
            <b/>
            <sz val="9"/>
            <color indexed="81"/>
            <rFont val="Tahoma"/>
            <family val="2"/>
          </rPr>
          <t>Los días flexibles permiten extender el régimen de trabajo durante la última semana en que la máquina está operativa, evitando que el personal tenga que regresar a campo por 7 días. Si no se indica un valor para los días flexibles, se asumirá que es cero, lo que significa que se cumplirá estrictamente con el régimen establecido.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 Camara</author>
  </authors>
  <commentList>
    <comment ref="F10" authorId="0" shapeId="0" xr:uid="{B31A6DB3-1522-47DA-B52A-446207EAB3A1}">
      <text>
        <r>
          <rPr>
            <b/>
            <sz val="9"/>
            <color indexed="81"/>
            <rFont val="Tahoma"/>
            <family val="2"/>
          </rPr>
          <t>Los días flexibles permiten extender el régimen de trabajo durante la última semana en que la máquina está operativa, evitando que el personal tenga que regresar a campo por 7 días. Si no se indica un valor para los días flexibles, se asumirá que es cero, lo que significa que se cumplirá estrictamente con el régimen establecido.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 Camara</author>
  </authors>
  <commentList>
    <comment ref="F10" authorId="0" shapeId="0" xr:uid="{C5E0F4D6-6CC4-4CBB-97B7-F372945AC264}">
      <text>
        <r>
          <rPr>
            <b/>
            <sz val="9"/>
            <color indexed="81"/>
            <rFont val="Tahoma"/>
            <family val="2"/>
          </rPr>
          <t>Los días flexibles permiten extender el régimen de trabajo durante la última semana en que la máquina está operativa, evitando que el personal tenga que regresar a campo por 7 días. Si no se indica un valor para los días flexibles, se asumirá que es cero, lo que significa que se cumplirá estrictamente con el régimen establecido.</t>
        </r>
      </text>
    </comment>
  </commentList>
</comments>
</file>

<file path=xl/sharedStrings.xml><?xml version="1.0" encoding="utf-8"?>
<sst xmlns="http://schemas.openxmlformats.org/spreadsheetml/2006/main" count="1326" uniqueCount="361">
  <si>
    <t>Cronograma para perforaciones</t>
  </si>
  <si>
    <t>I</t>
  </si>
  <si>
    <t>Inducción virtual</t>
  </si>
  <si>
    <t>Consideraciones generales</t>
  </si>
  <si>
    <t>H</t>
  </si>
  <si>
    <t>Hotel - internamiento</t>
  </si>
  <si>
    <t xml:space="preserve">Régimen </t>
  </si>
  <si>
    <t>14x7</t>
  </si>
  <si>
    <t>V</t>
  </si>
  <si>
    <t>Viaje - Movilización</t>
  </si>
  <si>
    <t>Fecha de inicio de actividades</t>
  </si>
  <si>
    <t>EM</t>
  </si>
  <si>
    <t>Examen médico</t>
  </si>
  <si>
    <t>Duración de las perforaciones</t>
  </si>
  <si>
    <t>D</t>
  </si>
  <si>
    <t>Documentos (antecedentes policiales y penales)</t>
  </si>
  <si>
    <t xml:space="preserve">Número de máquinas </t>
  </si>
  <si>
    <t>DS</t>
  </si>
  <si>
    <t>Descanso</t>
  </si>
  <si>
    <t xml:space="preserve">Día de subidas </t>
  </si>
  <si>
    <t>X</t>
  </si>
  <si>
    <t>Trabajo</t>
  </si>
  <si>
    <t>Día de bajadas</t>
  </si>
  <si>
    <t xml:space="preserve">N° de máquina </t>
  </si>
  <si>
    <t>Cantidad de personal para las perforaciones</t>
  </si>
  <si>
    <t>N° Perforacion</t>
  </si>
  <si>
    <t>Nombres y apellidos</t>
  </si>
  <si>
    <t>Cargo</t>
  </si>
  <si>
    <t>Turno</t>
  </si>
  <si>
    <t>Días de Trabajo</t>
  </si>
  <si>
    <t xml:space="preserve">Días de descanso </t>
  </si>
  <si>
    <t>Inicio de actividades</t>
  </si>
  <si>
    <t>Ingrese los dias con camioneta para perforaciones</t>
  </si>
  <si>
    <t xml:space="preserve">Camioneta N°01 en campo </t>
  </si>
  <si>
    <t>Ingrese los dias de hotel para personal de perforaciones</t>
  </si>
  <si>
    <t>Cronograma para CPT</t>
  </si>
  <si>
    <t>N° CPT</t>
  </si>
  <si>
    <t>Cronograma para Calicatas</t>
  </si>
  <si>
    <t>Duración de calicatas</t>
  </si>
  <si>
    <t>N° Calicata</t>
  </si>
  <si>
    <t>Cronograma para Trincheras</t>
  </si>
  <si>
    <t>Duración de trincheras</t>
  </si>
  <si>
    <t>N° Trinchera</t>
  </si>
  <si>
    <t xml:space="preserve">Ingrese datos </t>
  </si>
  <si>
    <t>*Nota: luego de ingresar las longitudes y/o realizar algún cambio de días de cada actividad, volver a presionar el botón de CALCULAR DIAS en la hoja INICIO</t>
  </si>
  <si>
    <t xml:space="preserve">CÁLCULO DE DIAS POR PROFUNDIDAD DE PERFORACION </t>
  </si>
  <si>
    <t>Ensayo RSCPTu</t>
  </si>
  <si>
    <t>CÁLCULO DE DIAS POR PROFUNDIDAD - Calicatas</t>
  </si>
  <si>
    <t>CÁLCULO DE DIAS POR PROFUNDIDAD - Trincheras</t>
  </si>
  <si>
    <t>Cantidad de Turnos</t>
  </si>
  <si>
    <t>Cantidad de Máquinas (Perf.)</t>
  </si>
  <si>
    <t>N°</t>
  </si>
  <si>
    <t>Código</t>
  </si>
  <si>
    <t>Profundidad
(m)</t>
  </si>
  <si>
    <t>Tipo de Suelo</t>
  </si>
  <si>
    <t xml:space="preserve">Rates por Tipo de Suelo
</t>
  </si>
  <si>
    <t>Total de días</t>
  </si>
  <si>
    <t>Relleno (m)</t>
  </si>
  <si>
    <t>Relaves (m)</t>
  </si>
  <si>
    <t>Suelo (m)</t>
  </si>
  <si>
    <t>Roca
(m)</t>
  </si>
  <si>
    <t xml:space="preserve">Rate relleno (m/dia)
</t>
  </si>
  <si>
    <t xml:space="preserve">Rate relave (m/dia)
</t>
  </si>
  <si>
    <t xml:space="preserve">Rate Suelo (m/dia)
</t>
  </si>
  <si>
    <t xml:space="preserve">Rate Roca (m/dia)
</t>
  </si>
  <si>
    <t>Longitud
(m)</t>
  </si>
  <si>
    <t>Suelo
(m)</t>
  </si>
  <si>
    <t>Roca/ Enrocado
(m)</t>
  </si>
  <si>
    <t>Estandarización</t>
  </si>
  <si>
    <t>Código de Calicatas</t>
  </si>
  <si>
    <t>Cantidad</t>
  </si>
  <si>
    <t>Tiempo de Ejecución de calicatas (días)</t>
  </si>
  <si>
    <t>Tiempo de ensayos (reemplazo de agua) (días)</t>
  </si>
  <si>
    <t>Rate calicata (Calicatas/día)
Turno: Solo día</t>
  </si>
  <si>
    <t>Area</t>
  </si>
  <si>
    <t>Trincheras</t>
  </si>
  <si>
    <t>Coordenadas</t>
  </si>
  <si>
    <t>Prof. (m)</t>
  </si>
  <si>
    <t>Tiempo de Ejecución de Trincheras (días)</t>
  </si>
  <si>
    <t>Distancia de Traslado entre puntos (km)</t>
  </si>
  <si>
    <t>Tiempo de traslado entre puntos (días)</t>
  </si>
  <si>
    <t>Rate trinchera (Trinchera/día)
Turno: Solo día</t>
  </si>
  <si>
    <t>Aplica</t>
  </si>
  <si>
    <t>entre 100 a 200 m</t>
  </si>
  <si>
    <t xml:space="preserve">Reembolsable </t>
  </si>
  <si>
    <t>Unidad</t>
  </si>
  <si>
    <t>San Rafael</t>
  </si>
  <si>
    <t>Mina Justa</t>
  </si>
  <si>
    <t xml:space="preserve">Descripción </t>
  </si>
  <si>
    <t>Man hour Load (Lima)</t>
  </si>
  <si>
    <t>hr</t>
  </si>
  <si>
    <t>Office Charge (off shore)</t>
  </si>
  <si>
    <t>(7% Costo Honorarios)</t>
  </si>
  <si>
    <t>Si es Denver el costo es 7% y si es Vancouver 6%</t>
  </si>
  <si>
    <r>
      <t xml:space="preserve">Man hour Load (Campo) </t>
    </r>
    <r>
      <rPr>
        <vertAlign val="superscript"/>
        <sz val="10"/>
        <rFont val="Arial"/>
        <family val="2"/>
      </rPr>
      <t>(2)</t>
    </r>
  </si>
  <si>
    <t>hora</t>
  </si>
  <si>
    <t>Pasajes (Ida - Vuelta)</t>
  </si>
  <si>
    <t>und.</t>
  </si>
  <si>
    <t>En el caso de San Rafael es pasaje aéreos (Lima-Juliaca-Lima) y para Mina Justa  son pasajes terrestres (Ica-Lima)</t>
  </si>
  <si>
    <t>Taxis</t>
  </si>
  <si>
    <t>un</t>
  </si>
  <si>
    <t>Logística (incluye exámenes médicos, antecedentes penales y policiales)</t>
  </si>
  <si>
    <t>Inducciones</t>
  </si>
  <si>
    <t>SCTR</t>
  </si>
  <si>
    <t>Alimentación (Juliaca)</t>
  </si>
  <si>
    <t>día</t>
  </si>
  <si>
    <t>Solo aplica para San Rafael</t>
  </si>
  <si>
    <t>Movilidad Juliaca - Mina</t>
  </si>
  <si>
    <t>Camioneta SÓLO TURNO DIA (incluye conductor y combustible)</t>
  </si>
  <si>
    <t>dia</t>
  </si>
  <si>
    <t>Camioneta TURNO DIA Y NOCHE(incluye conductor y combustible)</t>
  </si>
  <si>
    <t>Alojamiento conductores</t>
  </si>
  <si>
    <t>Alimentación conductores</t>
  </si>
  <si>
    <t>Homologación de Camioneta y conductor</t>
  </si>
  <si>
    <t>glb</t>
  </si>
  <si>
    <t>Hospedaje Supervisores</t>
  </si>
  <si>
    <t>Alimentación Supervisores</t>
  </si>
  <si>
    <t>Internet, telefonía</t>
  </si>
  <si>
    <t>Equipo IQ logger orientación de testigos</t>
  </si>
  <si>
    <t xml:space="preserve">Posteadora manual </t>
  </si>
  <si>
    <t>DPL</t>
  </si>
  <si>
    <t>Equipo de proteccion personal</t>
  </si>
  <si>
    <t>Envío de muestras</t>
  </si>
  <si>
    <t xml:space="preserve">Miscelaneus </t>
  </si>
  <si>
    <t>Tabla 1. Datos generales de proyectos</t>
  </si>
  <si>
    <t>Tabla 2. Tipos de investigaciones</t>
  </si>
  <si>
    <t>Tabla 3. Tiempo empleado en ensayos de campo realizados</t>
  </si>
  <si>
    <t>Tabla 4. Cantidad de horas por actividades de inducción, viaje, EM, entre otros</t>
  </si>
  <si>
    <t>Agregar nuevos proyectos y clientes</t>
  </si>
  <si>
    <t xml:space="preserve">Nombre </t>
  </si>
  <si>
    <t>Cliente</t>
  </si>
  <si>
    <t>Día de subida</t>
  </si>
  <si>
    <t>Día de bajada</t>
  </si>
  <si>
    <t>Ubicación</t>
  </si>
  <si>
    <t>Tipo</t>
  </si>
  <si>
    <t>Tiempo (días)</t>
  </si>
  <si>
    <t>Actividad</t>
  </si>
  <si>
    <t>Yanacocha</t>
  </si>
  <si>
    <t>Minsur</t>
  </si>
  <si>
    <t xml:space="preserve">Lunes </t>
  </si>
  <si>
    <t xml:space="preserve">Domingo </t>
  </si>
  <si>
    <t>Sur</t>
  </si>
  <si>
    <t>Perforación</t>
  </si>
  <si>
    <t>m</t>
  </si>
  <si>
    <t>Viaje</t>
  </si>
  <si>
    <t>Marcobre</t>
  </si>
  <si>
    <t>Jueves</t>
  </si>
  <si>
    <t>Oeste</t>
  </si>
  <si>
    <t>CPT</t>
  </si>
  <si>
    <t>und</t>
  </si>
  <si>
    <t>Newmont Mining</t>
  </si>
  <si>
    <t>Sabado</t>
  </si>
  <si>
    <t>Viernes</t>
  </si>
  <si>
    <t>Norte</t>
  </si>
  <si>
    <t>Calicatas</t>
  </si>
  <si>
    <t>Inducción</t>
  </si>
  <si>
    <t>Geofídico</t>
  </si>
  <si>
    <t>Mapeo</t>
  </si>
  <si>
    <t>Internamiento</t>
  </si>
  <si>
    <t>Documentación fotocheck</t>
  </si>
  <si>
    <t>Tabla 6. Tiempos de traslado entre puntos</t>
  </si>
  <si>
    <t>Cargos para supervisores de campo</t>
  </si>
  <si>
    <t>Distancia(Km)</t>
  </si>
  <si>
    <t>Menor a 100 m</t>
  </si>
  <si>
    <t>Geologist Senior</t>
  </si>
  <si>
    <t>Este</t>
  </si>
  <si>
    <t>Geotechnical Senior</t>
  </si>
  <si>
    <t>entre 200 m a 300 m</t>
  </si>
  <si>
    <t>Ing Staff III</t>
  </si>
  <si>
    <t>más de 300 m</t>
  </si>
  <si>
    <t>Ing Staff II</t>
  </si>
  <si>
    <t>Ing Staff I</t>
  </si>
  <si>
    <t xml:space="preserve">Documentación </t>
  </si>
  <si>
    <t>Régimenes</t>
  </si>
  <si>
    <t xml:space="preserve">Ing III </t>
  </si>
  <si>
    <t>*Se tienen los siguientes horarios de trabajo:</t>
  </si>
  <si>
    <t xml:space="preserve">Ing II </t>
  </si>
  <si>
    <t>Un turno</t>
  </si>
  <si>
    <t>21x7</t>
  </si>
  <si>
    <t>Ing I</t>
  </si>
  <si>
    <t xml:space="preserve">Doble turno </t>
  </si>
  <si>
    <t>Ing Junior</t>
  </si>
  <si>
    <t>Elección</t>
  </si>
  <si>
    <t>Si</t>
  </si>
  <si>
    <t>*Se tienen los siguientes turnos de trabajo:</t>
  </si>
  <si>
    <t>No</t>
  </si>
  <si>
    <t>Día</t>
  </si>
  <si>
    <t>Horas</t>
  </si>
  <si>
    <t>Noche</t>
  </si>
  <si>
    <t>Ingrese Rate por tipo de investigación</t>
  </si>
  <si>
    <t>Fechas importantes</t>
  </si>
  <si>
    <t>En la hoja "Rates" se presentan algunas recomendaciones considerando el turno de trabajo y el número de máquinas</t>
  </si>
  <si>
    <t>Para Perforaciones:</t>
  </si>
  <si>
    <t>Perforaciones</t>
  </si>
  <si>
    <t>Geofísico</t>
  </si>
  <si>
    <t>Mapeo Geológico</t>
  </si>
  <si>
    <t>Desmovilización</t>
  </si>
  <si>
    <t>Ingrese Rate Suelo (m/día):</t>
  </si>
  <si>
    <t>Ingrese Rate Relleno (m/día):</t>
  </si>
  <si>
    <t>Ingrese Rate Relave (m/día):</t>
  </si>
  <si>
    <t>Ingrese Rate Roca (m/día):</t>
  </si>
  <si>
    <t>S</t>
  </si>
  <si>
    <t>Subida</t>
  </si>
  <si>
    <t>Máquina</t>
  </si>
  <si>
    <t>Transporte</t>
  </si>
  <si>
    <t>Instrumentación</t>
  </si>
  <si>
    <t>Muestreo</t>
  </si>
  <si>
    <t>Rates por Tipo de Suelo</t>
  </si>
  <si>
    <t>(días)</t>
  </si>
  <si>
    <t>Rate relleno (m/dia)</t>
  </si>
  <si>
    <t>Rate relave (m/dia)</t>
  </si>
  <si>
    <t>Rate Suelo (m/dia)</t>
  </si>
  <si>
    <t>Rate Roca (m/dia)</t>
  </si>
  <si>
    <t>Cantidad de Máquinas (CPT)</t>
  </si>
  <si>
    <t>Rate trinchera (Trincheras/día)
Turno: Solo día</t>
  </si>
  <si>
    <t>CÁLCULO DE DIAS POR PROFUNDIDAD - Geofísica</t>
  </si>
  <si>
    <t>Cantidad de Máquinas (Geofísica)</t>
  </si>
  <si>
    <t>CÁLCULO DE DIAS POR PROFUNDIDAD - Mapeo Geológico</t>
  </si>
  <si>
    <t>Cantidad de Máquinas (Mapeo)</t>
  </si>
  <si>
    <t>Máquina 1</t>
  </si>
  <si>
    <t>Días flexibles</t>
  </si>
  <si>
    <t>Personal</t>
  </si>
  <si>
    <t>Régimen</t>
  </si>
  <si>
    <t>Inicio</t>
  </si>
  <si>
    <t>Permanencia</t>
  </si>
  <si>
    <t>N°días trabajados</t>
  </si>
  <si>
    <t xml:space="preserve">N°días descanso </t>
  </si>
  <si>
    <t>N° de días Movilización</t>
  </si>
  <si>
    <t>Subtotal</t>
  </si>
  <si>
    <t>Internam.</t>
  </si>
  <si>
    <t>E.M.</t>
  </si>
  <si>
    <t xml:space="preserve"> Document</t>
  </si>
  <si>
    <t>Otros</t>
  </si>
  <si>
    <t>COVID19</t>
  </si>
  <si>
    <t>Sub-Habilit.</t>
  </si>
  <si>
    <t>Hospedaje</t>
  </si>
  <si>
    <t>Total de horas</t>
  </si>
  <si>
    <t>Días de camionetas</t>
  </si>
  <si>
    <t>Total Días de Hospedaje</t>
  </si>
  <si>
    <t>Alimentación (Des. + Alm. + Cena)</t>
  </si>
  <si>
    <t>Pasos a seguir:</t>
  </si>
  <si>
    <t>Completar las celdas de color gris</t>
  </si>
  <si>
    <t>Formato principal:</t>
  </si>
  <si>
    <t>Revisar que los datos ingresados sean correctos</t>
  </si>
  <si>
    <t>Rates</t>
  </si>
  <si>
    <t>Tras revisar los datos, hacer click en el botón "Suma"</t>
  </si>
  <si>
    <t>Introducir los datos del personal para cada máquina</t>
  </si>
  <si>
    <t>Revisar que los datos del personal sean correctos</t>
  </si>
  <si>
    <t>Hacer click en el botón "Generar Cronograma"</t>
  </si>
  <si>
    <t>Rates para:</t>
  </si>
  <si>
    <t>Ingrese Rate Suelo (m/turno):</t>
  </si>
  <si>
    <t>Ingrese Rate Relleno (m/turno):</t>
  </si>
  <si>
    <t>Ingrese Rate Relave (m/turno):</t>
  </si>
  <si>
    <t>Ingrese Rate Roca (m/turno):</t>
  </si>
  <si>
    <t>Sup.</t>
  </si>
  <si>
    <t>Cantidad/día</t>
  </si>
  <si>
    <t>LC</t>
  </si>
  <si>
    <t>Prac 1</t>
  </si>
  <si>
    <t>Personal en campo</t>
  </si>
  <si>
    <t>Camioneta en campo</t>
  </si>
  <si>
    <t xml:space="preserve">TABLA 1 </t>
  </si>
  <si>
    <t xml:space="preserve">Rates de ensayos de investigación de campo </t>
  </si>
  <si>
    <t>RATES (días/m)</t>
  </si>
  <si>
    <t>Ensayo</t>
  </si>
  <si>
    <t xml:space="preserve">Material </t>
  </si>
  <si>
    <t xml:space="preserve">Perforación </t>
  </si>
  <si>
    <t xml:space="preserve">Suelo </t>
  </si>
  <si>
    <t>Relleno</t>
  </si>
  <si>
    <t>Relave</t>
  </si>
  <si>
    <t>Roca</t>
  </si>
  <si>
    <t>RCPTu</t>
  </si>
  <si>
    <t>Doble turno</t>
  </si>
  <si>
    <t>Solo día</t>
  </si>
  <si>
    <t>Trinchera</t>
  </si>
  <si>
    <t>Sup. Geofísica</t>
  </si>
  <si>
    <t>TABLA 2</t>
  </si>
  <si>
    <t>Rates de cargos de supervisión</t>
  </si>
  <si>
    <t>Rate</t>
  </si>
  <si>
    <t>PROGRAMACIÓN DE CAMPAÑAS GEOTÉCNICAS</t>
  </si>
  <si>
    <t>Ingrese datos generales del proyecto</t>
  </si>
  <si>
    <t>Ingresar datos manualmente</t>
  </si>
  <si>
    <t>Seleccione proyecto:</t>
  </si>
  <si>
    <t>Datos calculados automáticamente</t>
  </si>
  <si>
    <t xml:space="preserve">Cliente: </t>
  </si>
  <si>
    <t>Régiman del proyecto</t>
  </si>
  <si>
    <t>Ingrese datos de entrada</t>
  </si>
  <si>
    <t>Seleccionar la ubicación del proyecto</t>
  </si>
  <si>
    <t>Seleccionar los ensayos a realizar haciendo click en la caja correspondiente</t>
  </si>
  <si>
    <t>+</t>
  </si>
  <si>
    <t>Ensayos</t>
  </si>
  <si>
    <t>N Ensayos</t>
  </si>
  <si>
    <t>Número Máquinas</t>
  </si>
  <si>
    <t>Fecha Inicio</t>
  </si>
  <si>
    <t>Completar los datos para los ensayos elegidos</t>
  </si>
  <si>
    <t xml:space="preserve">  </t>
  </si>
  <si>
    <t xml:space="preserve">BHSR B4 KP23 </t>
  </si>
  <si>
    <t>Seleccionar la cantidad de turnos a considerar</t>
  </si>
  <si>
    <t>Hacer click en el botón "Generar Tabla de Rates" y verificar los valores mostrados automáticamente</t>
  </si>
  <si>
    <t>TPSR KP23</t>
  </si>
  <si>
    <t>En caso de necesitar rates distintos, se pueden cambiar manualmente</t>
  </si>
  <si>
    <t>TRSR KP23</t>
  </si>
  <si>
    <t>Revisar que no hayan pestañas ya creadas para el cálculo de días, y eliminarlas en caso de existir</t>
  </si>
  <si>
    <t>Supervisión de la Geofísica</t>
  </si>
  <si>
    <t>Hacer click en el botón "Generar Tablas de Cálculo Días"</t>
  </si>
  <si>
    <t>*Nota: ingresar las longitudes para cada investigación según el tipo de material en la hoja "Calculo de días" en las columnas coloreadas</t>
  </si>
  <si>
    <t>Seleccione turno de trabajo</t>
  </si>
  <si>
    <t>YA</t>
  </si>
  <si>
    <t>-</t>
  </si>
  <si>
    <t>TASK</t>
  </si>
  <si>
    <t>DESCRIPTION</t>
  </si>
  <si>
    <t>Subtotal  Task</t>
  </si>
  <si>
    <t>Principal  Lima Office</t>
  </si>
  <si>
    <t>Principal Consultant Off-shore Office</t>
  </si>
  <si>
    <t>Specialist Off-shore</t>
  </si>
  <si>
    <t>Senior Engineer Off-shore</t>
  </si>
  <si>
    <t>Project Engineer Off-shore</t>
  </si>
  <si>
    <t>CAD Technician Off-shore</t>
  </si>
  <si>
    <t>Project Manager II</t>
  </si>
  <si>
    <t>Project Manager I</t>
  </si>
  <si>
    <t>Senior Project Engineer</t>
  </si>
  <si>
    <t>Site Investigation Coordinator</t>
  </si>
  <si>
    <t>Project Engineer I</t>
  </si>
  <si>
    <t>Lab Technician</t>
  </si>
  <si>
    <t>CAD</t>
  </si>
  <si>
    <t>Admin</t>
  </si>
  <si>
    <t>Secret</t>
  </si>
  <si>
    <t>Clerk</t>
  </si>
  <si>
    <t>RATE US$ / hour</t>
  </si>
  <si>
    <t>Preparación de documentación para ingreso a mina (exámenes médicos, inducciones, antecedentes penales y policiales, trámite de fotocheck)</t>
  </si>
  <si>
    <t>Preparación de información para la salida a campo (formatos, planos para trabajo, requerimiento de materiales, EPP, equipos, logística, camioneta)</t>
  </si>
  <si>
    <t>Supervisión de Perforaciones (incluye movilización)</t>
  </si>
  <si>
    <t>Supervisión de CPT</t>
  </si>
  <si>
    <t xml:space="preserve">Supervisión de Calicatas </t>
  </si>
  <si>
    <t>Supervisión de Trincheras</t>
  </si>
  <si>
    <t xml:space="preserve">     Subtotal (horas)</t>
  </si>
  <si>
    <t xml:space="preserve">   Amount (US$)</t>
  </si>
  <si>
    <t>Man hour Load (Campo) (2)</t>
  </si>
  <si>
    <t>Camioneta TURNO DIA Y NOCHE (incluye conductor y combustible)</t>
  </si>
  <si>
    <t>Rate US$/hora</t>
  </si>
  <si>
    <t>Investigación geotécnica de campo</t>
  </si>
  <si>
    <t>Preparación de documentación para ingreso a mina</t>
  </si>
  <si>
    <t>Preparación de información para la salida a campo</t>
  </si>
  <si>
    <t>Amount ($)</t>
  </si>
  <si>
    <t>Verificar que las pestañas de "Cronograma" de uno de los ensayos elegidos haya sido creada</t>
  </si>
  <si>
    <t>Verificar los rates (elegidos a partir del proyecto)</t>
  </si>
  <si>
    <t>En caso se desee cambiar agún rate, se puede cambiar en la pestaña "Reembolsables"</t>
  </si>
  <si>
    <t>Hacer click en el botón "Obtener Resumen Costos"</t>
  </si>
  <si>
    <t>Labor</t>
  </si>
  <si>
    <t>Disbursements</t>
  </si>
  <si>
    <t>IC</t>
  </si>
  <si>
    <t>Maquina 1</t>
  </si>
  <si>
    <t>Total Días</t>
  </si>
  <si>
    <t>Máquina 2</t>
  </si>
  <si>
    <t>BHSR B4 KP23 -16</t>
  </si>
  <si>
    <t>BHSR B4 KP23 -18</t>
  </si>
  <si>
    <t>BHSR B4 KP23 -1</t>
  </si>
  <si>
    <t>BHSR B4 KP23 -17</t>
  </si>
  <si>
    <t>BHSR B4 KP23 -19</t>
  </si>
  <si>
    <t>BHSR B4 KP23 -3</t>
  </si>
  <si>
    <t>Maquina 2</t>
  </si>
  <si>
    <t>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</si>
</sst>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0"/>
      <color rgb="FF002060"/>
      <name val="Arial"/>
      <family val="2"/>
    </font>
    <font>
      <sz val="10"/>
      <color theme="1"/>
      <name val="Arial"/>
      <family val="2"/>
    </font>
    <font>
      <b/>
      <u/>
      <sz val="10"/>
      <color rgb="FF00206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 "/>
    </font>
    <font>
      <b/>
      <i/>
      <sz val="11"/>
      <name val="Arial "/>
    </font>
    <font>
      <b/>
      <i/>
      <sz val="11"/>
      <color theme="0"/>
      <name val="Arial "/>
    </font>
    <font>
      <i/>
      <sz val="8"/>
      <name val="Arial "/>
    </font>
    <font>
      <b/>
      <sz val="11"/>
      <color theme="1"/>
      <name val="Arial "/>
    </font>
    <font>
      <b/>
      <sz val="10"/>
      <color theme="1"/>
      <name val="Arial "/>
    </font>
    <font>
      <i/>
      <sz val="9"/>
      <color theme="1"/>
      <name val="Arial"/>
      <family val="2"/>
    </font>
    <font>
      <b/>
      <sz val="11"/>
      <color rgb="FFFFFF00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rgb="FFFFFF00"/>
      <name val="Arial"/>
      <family val="2"/>
    </font>
    <font>
      <b/>
      <sz val="10"/>
      <color theme="3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b/>
      <sz val="11"/>
      <color theme="8" tint="0.79998168889431442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0" tint="-0.1499984740745262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i/>
      <sz val="11"/>
      <color theme="1"/>
      <name val="Arial "/>
    </font>
    <font>
      <sz val="9"/>
      <color indexed="81"/>
      <name val="Tahoma"/>
      <family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8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332">
    <xf numFmtId="0" fontId="0" fillId="0" borderId="0" xfId="0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1" applyFont="1" applyAlignment="1">
      <alignment horizontal="center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2" fillId="6" borderId="0" xfId="0" applyFont="1" applyFill="1" applyAlignment="1">
      <alignment horizontal="left"/>
    </xf>
    <xf numFmtId="0" fontId="13" fillId="0" borderId="0" xfId="0" applyFont="1"/>
    <xf numFmtId="0" fontId="14" fillId="0" borderId="0" xfId="0" applyFont="1"/>
    <xf numFmtId="0" fontId="11" fillId="0" borderId="1" xfId="0" applyFont="1" applyBorder="1"/>
    <xf numFmtId="0" fontId="11" fillId="0" borderId="5" xfId="0" applyFont="1" applyBorder="1" applyAlignment="1">
      <alignment horizontal="center"/>
    </xf>
    <xf numFmtId="0" fontId="11" fillId="0" borderId="5" xfId="0" applyFont="1" applyBorder="1"/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0" fontId="15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5" fillId="6" borderId="0" xfId="0" applyFont="1" applyFill="1"/>
    <xf numFmtId="0" fontId="16" fillId="6" borderId="0" xfId="0" applyFont="1" applyFill="1"/>
    <xf numFmtId="0" fontId="20" fillId="0" borderId="0" xfId="0" applyFont="1"/>
    <xf numFmtId="0" fontId="17" fillId="0" borderId="0" xfId="0" applyFont="1"/>
    <xf numFmtId="0" fontId="3" fillId="5" borderId="1" xfId="0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 applyAlignment="1">
      <alignment horizontal="left" indent="2"/>
    </xf>
    <xf numFmtId="0" fontId="1" fillId="0" borderId="0" xfId="0" applyFont="1" applyAlignment="1">
      <alignment horizontal="center"/>
    </xf>
    <xf numFmtId="0" fontId="11" fillId="0" borderId="1" xfId="0" applyFont="1" applyBorder="1" applyAlignment="1">
      <alignment horizontal="center" wrapText="1"/>
    </xf>
    <xf numFmtId="0" fontId="22" fillId="4" borderId="2" xfId="0" applyFont="1" applyFill="1" applyBorder="1" applyAlignment="1">
      <alignment horizontal="center" vertical="center" wrapText="1"/>
    </xf>
    <xf numFmtId="0" fontId="22" fillId="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left" indent="1"/>
    </xf>
    <xf numFmtId="0" fontId="11" fillId="0" borderId="13" xfId="0" applyFont="1" applyBorder="1" applyAlignment="1">
      <alignment horizontal="left" indent="1"/>
    </xf>
    <xf numFmtId="0" fontId="14" fillId="0" borderId="14" xfId="0" applyFont="1" applyBorder="1"/>
    <xf numFmtId="0" fontId="14" fillId="0" borderId="17" xfId="0" applyFont="1" applyBorder="1"/>
    <xf numFmtId="0" fontId="0" fillId="0" borderId="0" xfId="0" applyAlignment="1">
      <alignment wrapText="1"/>
    </xf>
    <xf numFmtId="14" fontId="3" fillId="8" borderId="2" xfId="0" applyNumberFormat="1" applyFont="1" applyFill="1" applyBorder="1" applyAlignment="1">
      <alignment horizontal="center" textRotation="90" wrapText="1"/>
    </xf>
    <xf numFmtId="14" fontId="3" fillId="8" borderId="17" xfId="0" applyNumberFormat="1" applyFont="1" applyFill="1" applyBorder="1" applyAlignment="1">
      <alignment horizontal="center" textRotation="90" wrapText="1"/>
    </xf>
    <xf numFmtId="0" fontId="14" fillId="9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4" fillId="0" borderId="1" xfId="0" applyFont="1" applyBorder="1"/>
    <xf numFmtId="0" fontId="27" fillId="10" borderId="0" xfId="0" applyFont="1" applyFill="1"/>
    <xf numFmtId="0" fontId="27" fillId="10" borderId="0" xfId="0" quotePrefix="1" applyFont="1" applyFill="1"/>
    <xf numFmtId="0" fontId="14" fillId="0" borderId="16" xfId="0" applyFont="1" applyBorder="1"/>
    <xf numFmtId="0" fontId="14" fillId="0" borderId="13" xfId="0" applyFont="1" applyBorder="1"/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14" fontId="11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6" fillId="0" borderId="0" xfId="0" applyFont="1"/>
    <xf numFmtId="0" fontId="26" fillId="0" borderId="0" xfId="0" applyFont="1"/>
    <xf numFmtId="0" fontId="11" fillId="9" borderId="0" xfId="0" applyFont="1" applyFill="1" applyAlignment="1">
      <alignment horizontal="center"/>
    </xf>
    <xf numFmtId="14" fontId="11" fillId="0" borderId="0" xfId="0" applyNumberFormat="1" applyFont="1"/>
    <xf numFmtId="0" fontId="25" fillId="0" borderId="0" xfId="0" applyFont="1"/>
    <xf numFmtId="0" fontId="26" fillId="0" borderId="0" xfId="0" quotePrefix="1" applyFont="1"/>
    <xf numFmtId="0" fontId="10" fillId="9" borderId="0" xfId="0" applyFont="1" applyFill="1" applyAlignment="1">
      <alignment horizontal="center" vertical="center" textRotation="90"/>
    </xf>
    <xf numFmtId="0" fontId="11" fillId="9" borderId="0" xfId="0" applyFont="1" applyFill="1"/>
    <xf numFmtId="0" fontId="0" fillId="9" borderId="0" xfId="0" applyFill="1"/>
    <xf numFmtId="14" fontId="27" fillId="10" borderId="0" xfId="0" quotePrefix="1" applyNumberFormat="1" applyFont="1" applyFill="1"/>
    <xf numFmtId="0" fontId="8" fillId="6" borderId="1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4" fontId="11" fillId="0" borderId="1" xfId="0" applyNumberFormat="1" applyFont="1" applyBorder="1"/>
    <xf numFmtId="0" fontId="28" fillId="0" borderId="0" xfId="0" applyFont="1"/>
    <xf numFmtId="0" fontId="24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indent="1"/>
    </xf>
    <xf numFmtId="0" fontId="14" fillId="0" borderId="1" xfId="0" applyFont="1" applyBorder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14" fontId="3" fillId="8" borderId="1" xfId="0" applyNumberFormat="1" applyFont="1" applyFill="1" applyBorder="1" applyAlignment="1">
      <alignment textRotation="90"/>
    </xf>
    <xf numFmtId="0" fontId="8" fillId="6" borderId="16" xfId="0" applyFont="1" applyFill="1" applyBorder="1" applyAlignment="1">
      <alignment horizontal="center" vertical="center"/>
    </xf>
    <xf numFmtId="14" fontId="11" fillId="0" borderId="14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0" fillId="11" borderId="0" xfId="0" applyFill="1"/>
    <xf numFmtId="0" fontId="25" fillId="8" borderId="1" xfId="0" applyFont="1" applyFill="1" applyBorder="1" applyAlignment="1">
      <alignment horizontal="center" vertical="center" wrapText="1"/>
    </xf>
    <xf numFmtId="0" fontId="25" fillId="8" borderId="1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horizontal="center" wrapText="1"/>
    </xf>
    <xf numFmtId="0" fontId="11" fillId="13" borderId="1" xfId="0" applyFont="1" applyFill="1" applyBorder="1" applyAlignment="1">
      <alignment horizontal="center" wrapText="1"/>
    </xf>
    <xf numFmtId="0" fontId="11" fillId="6" borderId="1" xfId="0" applyFont="1" applyFill="1" applyBorder="1" applyAlignment="1">
      <alignment horizontal="center" wrapText="1"/>
    </xf>
    <xf numFmtId="0" fontId="0" fillId="12" borderId="0" xfId="0" applyFill="1"/>
    <xf numFmtId="0" fontId="8" fillId="12" borderId="0" xfId="0" applyFont="1" applyFill="1" applyAlignment="1">
      <alignment horizontal="center" vertical="center"/>
    </xf>
    <xf numFmtId="0" fontId="34" fillId="0" borderId="0" xfId="0" applyFont="1" applyAlignment="1">
      <alignment horizontal="center"/>
    </xf>
    <xf numFmtId="0" fontId="35" fillId="0" borderId="0" xfId="0" applyFont="1"/>
    <xf numFmtId="0" fontId="30" fillId="6" borderId="0" xfId="0" applyFont="1" applyFill="1" applyAlignment="1">
      <alignment horizontal="left"/>
    </xf>
    <xf numFmtId="0" fontId="0" fillId="13" borderId="0" xfId="0" applyFill="1"/>
    <xf numFmtId="0" fontId="0" fillId="7" borderId="1" xfId="0" applyFill="1" applyBorder="1"/>
    <xf numFmtId="0" fontId="11" fillId="0" borderId="2" xfId="0" applyFont="1" applyBorder="1" applyAlignment="1">
      <alignment horizontal="center" wrapText="1"/>
    </xf>
    <xf numFmtId="0" fontId="11" fillId="7" borderId="1" xfId="0" applyFont="1" applyFill="1" applyBorder="1" applyAlignment="1">
      <alignment horizontal="center" wrapText="1"/>
    </xf>
    <xf numFmtId="0" fontId="11" fillId="0" borderId="17" xfId="0" applyFont="1" applyBorder="1" applyAlignment="1">
      <alignment horizontal="center" wrapText="1"/>
    </xf>
    <xf numFmtId="0" fontId="4" fillId="0" borderId="22" xfId="0" applyFont="1" applyBorder="1" applyAlignment="1">
      <alignment horizontal="left"/>
    </xf>
    <xf numFmtId="0" fontId="4" fillId="0" borderId="23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22" fillId="5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22" fillId="5" borderId="0" xfId="0" applyFont="1" applyFill="1" applyAlignment="1">
      <alignment vertical="center"/>
    </xf>
    <xf numFmtId="0" fontId="11" fillId="0" borderId="0" xfId="0" applyFont="1" applyAlignment="1">
      <alignment horizontal="center" wrapText="1"/>
    </xf>
    <xf numFmtId="0" fontId="11" fillId="7" borderId="0" xfId="0" applyFont="1" applyFill="1" applyAlignment="1">
      <alignment horizontal="center" wrapText="1"/>
    </xf>
    <xf numFmtId="0" fontId="0" fillId="0" borderId="1" xfId="0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14" borderId="1" xfId="0" applyFill="1" applyBorder="1" applyProtection="1">
      <protection locked="0"/>
    </xf>
    <xf numFmtId="0" fontId="14" fillId="0" borderId="14" xfId="0" applyFont="1" applyBorder="1" applyAlignment="1">
      <alignment vertical="center"/>
    </xf>
    <xf numFmtId="0" fontId="6" fillId="0" borderId="1" xfId="0" applyFont="1" applyBorder="1"/>
    <xf numFmtId="0" fontId="36" fillId="0" borderId="0" xfId="0" applyFont="1"/>
    <xf numFmtId="0" fontId="4" fillId="0" borderId="0" xfId="0" applyFont="1"/>
    <xf numFmtId="0" fontId="24" fillId="14" borderId="0" xfId="0" applyFont="1" applyFill="1"/>
    <xf numFmtId="0" fontId="0" fillId="0" borderId="0" xfId="0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0" fillId="0" borderId="1" xfId="0" applyNumberFormat="1" applyBorder="1" applyProtection="1">
      <protection locked="0"/>
    </xf>
    <xf numFmtId="0" fontId="5" fillId="0" borderId="0" xfId="0" applyFont="1" applyAlignment="1">
      <alignment horizontal="center"/>
    </xf>
    <xf numFmtId="0" fontId="31" fillId="0" borderId="0" xfId="0" applyFont="1"/>
    <xf numFmtId="2" fontId="33" fillId="0" borderId="0" xfId="0" applyNumberFormat="1" applyFont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39" fillId="15" borderId="25" xfId="0" applyFont="1" applyFill="1" applyBorder="1" applyAlignment="1">
      <alignment horizontal="center" vertical="center"/>
    </xf>
    <xf numFmtId="0" fontId="39" fillId="15" borderId="26" xfId="0" applyFont="1" applyFill="1" applyBorder="1" applyAlignment="1">
      <alignment horizontal="center" vertical="center"/>
    </xf>
    <xf numFmtId="0" fontId="39" fillId="15" borderId="26" xfId="0" applyFont="1" applyFill="1" applyBorder="1" applyAlignment="1">
      <alignment horizontal="left" vertical="center"/>
    </xf>
    <xf numFmtId="0" fontId="0" fillId="16" borderId="1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2" fillId="17" borderId="1" xfId="0" applyFont="1" applyFill="1" applyBorder="1" applyAlignment="1">
      <alignment horizontal="center"/>
    </xf>
    <xf numFmtId="0" fontId="40" fillId="0" borderId="0" xfId="0" applyFont="1"/>
    <xf numFmtId="0" fontId="11" fillId="0" borderId="3" xfId="0" applyFont="1" applyBorder="1" applyAlignment="1">
      <alignment horizontal="left" indent="1"/>
    </xf>
    <xf numFmtId="0" fontId="11" fillId="0" borderId="5" xfId="0" applyFont="1" applyBorder="1" applyAlignment="1">
      <alignment horizontal="left" indent="1"/>
    </xf>
    <xf numFmtId="0" fontId="0" fillId="1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7" borderId="21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41" fillId="0" borderId="0" xfId="0" applyFont="1" applyAlignment="1">
      <alignment horizontal="left"/>
    </xf>
    <xf numFmtId="0" fontId="0" fillId="2" borderId="14" xfId="0" applyFill="1" applyBorder="1" applyAlignment="1">
      <alignment horizontal="center" vertical="center"/>
    </xf>
    <xf numFmtId="14" fontId="0" fillId="2" borderId="17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16" xfId="0" applyNumberFormat="1" applyFill="1" applyBorder="1" applyAlignment="1">
      <alignment horizontal="center" vertical="center"/>
    </xf>
    <xf numFmtId="14" fontId="0" fillId="2" borderId="13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/>
    </xf>
    <xf numFmtId="0" fontId="8" fillId="2" borderId="18" xfId="0" applyFont="1" applyFill="1" applyBorder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25" fillId="14" borderId="2" xfId="0" applyFont="1" applyFill="1" applyBorder="1" applyAlignment="1">
      <alignment horizontal="center" vertical="center" wrapText="1"/>
    </xf>
    <xf numFmtId="0" fontId="38" fillId="2" borderId="21" xfId="0" applyFont="1" applyFill="1" applyBorder="1" applyAlignment="1">
      <alignment horizontal="center" vertical="center"/>
    </xf>
    <xf numFmtId="0" fontId="2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/>
    </xf>
    <xf numFmtId="0" fontId="11" fillId="2" borderId="1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13" xfId="0" applyFont="1" applyBorder="1"/>
    <xf numFmtId="0" fontId="11" fillId="0" borderId="14" xfId="0" applyFont="1" applyBorder="1"/>
    <xf numFmtId="0" fontId="14" fillId="0" borderId="0" xfId="0" applyFont="1" applyAlignment="1">
      <alignment vertical="center"/>
    </xf>
    <xf numFmtId="0" fontId="8" fillId="0" borderId="6" xfId="1" applyFont="1" applyBorder="1" applyAlignment="1">
      <alignment vertical="center"/>
    </xf>
    <xf numFmtId="0" fontId="8" fillId="0" borderId="4" xfId="1" applyFont="1" applyBorder="1" applyAlignment="1">
      <alignment vertical="center"/>
    </xf>
    <xf numFmtId="0" fontId="8" fillId="0" borderId="7" xfId="1" applyFont="1" applyBorder="1" applyAlignment="1">
      <alignment vertical="center"/>
    </xf>
    <xf numFmtId="0" fontId="8" fillId="0" borderId="21" xfId="1" applyFont="1" applyBorder="1" applyAlignment="1">
      <alignment vertical="center"/>
    </xf>
    <xf numFmtId="0" fontId="0" fillId="0" borderId="27" xfId="0" applyBorder="1"/>
    <xf numFmtId="0" fontId="0" fillId="0" borderId="11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12" xfId="0" applyBorder="1"/>
    <xf numFmtId="0" fontId="0" fillId="0" borderId="10" xfId="0" applyBorder="1"/>
    <xf numFmtId="0" fontId="0" fillId="0" borderId="9" xfId="0" applyBorder="1"/>
    <xf numFmtId="0" fontId="32" fillId="2" borderId="1" xfId="0" applyFont="1" applyFill="1" applyBorder="1" applyAlignment="1">
      <alignment horizontal="center"/>
    </xf>
    <xf numFmtId="0" fontId="3" fillId="14" borderId="5" xfId="0" applyFont="1" applyFill="1" applyBorder="1" applyAlignment="1">
      <alignment vertical="center" wrapText="1"/>
    </xf>
    <xf numFmtId="0" fontId="3" fillId="14" borderId="2" xfId="0" applyFont="1" applyFill="1" applyBorder="1" applyAlignment="1">
      <alignment horizontal="center" wrapText="1"/>
    </xf>
    <xf numFmtId="0" fontId="3" fillId="14" borderId="2" xfId="0" applyFont="1" applyFill="1" applyBorder="1" applyAlignment="1">
      <alignment horizontal="center"/>
    </xf>
    <xf numFmtId="0" fontId="3" fillId="14" borderId="5" xfId="0" applyFont="1" applyFill="1" applyBorder="1" applyAlignment="1">
      <alignment horizontal="center"/>
    </xf>
    <xf numFmtId="0" fontId="3" fillId="14" borderId="5" xfId="0" applyFont="1" applyFill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164" fontId="6" fillId="0" borderId="17" xfId="0" applyNumberFormat="1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 wrapText="1"/>
    </xf>
    <xf numFmtId="164" fontId="1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7" fillId="2" borderId="1" xfId="0" applyFont="1" applyFill="1" applyBorder="1" applyAlignment="1">
      <alignment horizontal="center"/>
    </xf>
    <xf numFmtId="0" fontId="39" fillId="15" borderId="26" xfId="0" applyFont="1" applyFill="1" applyBorder="1" applyAlignment="1">
      <alignment horizontal="center" vertical="center" wrapText="1"/>
    </xf>
    <xf numFmtId="0" fontId="39" fillId="15" borderId="26" xfId="0" applyFont="1" applyFill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/>
    </xf>
    <xf numFmtId="0" fontId="1" fillId="0" borderId="16" xfId="0" applyFont="1" applyBorder="1"/>
    <xf numFmtId="0" fontId="1" fillId="0" borderId="0" xfId="0" applyFont="1"/>
    <xf numFmtId="0" fontId="3" fillId="14" borderId="14" xfId="0" applyFont="1" applyFill="1" applyBorder="1" applyAlignment="1">
      <alignment vertical="center"/>
    </xf>
    <xf numFmtId="0" fontId="3" fillId="14" borderId="18" xfId="0" applyFont="1" applyFill="1" applyBorder="1" applyAlignment="1">
      <alignment vertical="center"/>
    </xf>
    <xf numFmtId="0" fontId="37" fillId="2" borderId="2" xfId="0" applyFont="1" applyFill="1" applyBorder="1" applyAlignment="1">
      <alignment horizontal="center" vertical="center" wrapText="1"/>
    </xf>
    <xf numFmtId="0" fontId="33" fillId="18" borderId="2" xfId="0" applyFont="1" applyFill="1" applyBorder="1" applyAlignment="1">
      <alignment horizontal="center" vertical="center"/>
    </xf>
    <xf numFmtId="0" fontId="33" fillId="18" borderId="3" xfId="0" applyFont="1" applyFill="1" applyBorder="1" applyAlignment="1">
      <alignment horizontal="center" vertical="center"/>
    </xf>
    <xf numFmtId="0" fontId="33" fillId="18" borderId="5" xfId="0" applyFont="1" applyFill="1" applyBorder="1" applyAlignment="1">
      <alignment horizontal="center" vertical="center"/>
    </xf>
    <xf numFmtId="0" fontId="37" fillId="18" borderId="2" xfId="0" applyFont="1" applyFill="1" applyBorder="1" applyAlignment="1">
      <alignment horizontal="center" vertical="center"/>
    </xf>
    <xf numFmtId="0" fontId="37" fillId="18" borderId="3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11" fillId="0" borderId="3" xfId="0" applyFont="1" applyBorder="1"/>
    <xf numFmtId="0" fontId="37" fillId="2" borderId="39" xfId="0" applyFont="1" applyFill="1" applyBorder="1" applyAlignment="1">
      <alignment horizontal="center"/>
    </xf>
    <xf numFmtId="0" fontId="37" fillId="2" borderId="33" xfId="0" applyFont="1" applyFill="1" applyBorder="1" applyAlignment="1">
      <alignment horizontal="center" vertical="center" wrapText="1"/>
    </xf>
    <xf numFmtId="0" fontId="37" fillId="2" borderId="35" xfId="0" applyFont="1" applyFill="1" applyBorder="1" applyAlignment="1">
      <alignment horizontal="center" vertical="center" wrapText="1"/>
    </xf>
    <xf numFmtId="0" fontId="37" fillId="2" borderId="36" xfId="0" applyFont="1" applyFill="1" applyBorder="1" applyAlignment="1">
      <alignment horizontal="center" vertical="center" wrapText="1"/>
    </xf>
    <xf numFmtId="0" fontId="37" fillId="2" borderId="33" xfId="0" applyFont="1" applyFill="1" applyBorder="1" applyAlignment="1">
      <alignment horizontal="left" vertical="center" wrapText="1" indent="1"/>
    </xf>
    <xf numFmtId="0" fontId="37" fillId="2" borderId="35" xfId="0" applyFont="1" applyFill="1" applyBorder="1" applyAlignment="1">
      <alignment horizontal="left" vertical="center" wrapText="1" indent="1"/>
    </xf>
    <xf numFmtId="0" fontId="8" fillId="2" borderId="1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37" fillId="2" borderId="36" xfId="0" applyFont="1" applyFill="1" applyBorder="1" applyAlignment="1">
      <alignment horizontal="left" vertical="center" wrapText="1" indent="1"/>
    </xf>
    <xf numFmtId="0" fontId="24" fillId="14" borderId="0" xfId="0" applyFont="1" applyFill="1" applyAlignment="1">
      <alignment horizontal="center" vertical="center"/>
    </xf>
    <xf numFmtId="14" fontId="3" fillId="14" borderId="2" xfId="0" applyNumberFormat="1" applyFont="1" applyFill="1" applyBorder="1" applyAlignment="1">
      <alignment vertical="center" textRotation="90" wrapText="1"/>
    </xf>
    <xf numFmtId="14" fontId="3" fillId="0" borderId="0" xfId="0" applyNumberFormat="1" applyFont="1" applyAlignment="1">
      <alignment vertical="center" textRotation="90" wrapText="1"/>
    </xf>
    <xf numFmtId="14" fontId="3" fillId="14" borderId="16" xfId="0" applyNumberFormat="1" applyFont="1" applyFill="1" applyBorder="1" applyAlignment="1">
      <alignment vertical="center" wrapText="1"/>
    </xf>
    <xf numFmtId="14" fontId="3" fillId="14" borderId="0" xfId="0" applyNumberFormat="1" applyFont="1" applyFill="1" applyAlignment="1">
      <alignment vertical="center" wrapText="1"/>
    </xf>
    <xf numFmtId="14" fontId="3" fillId="14" borderId="20" xfId="0" applyNumberFormat="1" applyFont="1" applyFill="1" applyBorder="1" applyAlignment="1">
      <alignment vertical="center" wrapText="1"/>
    </xf>
    <xf numFmtId="0" fontId="0" fillId="0" borderId="0" xfId="0" applyAlignment="1">
      <alignment horizontal="left" indent="3"/>
    </xf>
    <xf numFmtId="3" fontId="8" fillId="2" borderId="31" xfId="0" applyNumberFormat="1" applyFont="1" applyFill="1" applyBorder="1" applyAlignment="1">
      <alignment horizontal="center" vertical="center"/>
    </xf>
    <xf numFmtId="4" fontId="33" fillId="2" borderId="35" xfId="0" applyNumberFormat="1" applyFont="1" applyFill="1" applyBorder="1" applyAlignment="1">
      <alignment horizontal="center" vertical="center"/>
    </xf>
    <xf numFmtId="3" fontId="37" fillId="2" borderId="1" xfId="0" applyNumberFormat="1" applyFont="1" applyFill="1" applyBorder="1" applyAlignment="1">
      <alignment horizontal="center"/>
    </xf>
    <xf numFmtId="3" fontId="37" fillId="2" borderId="32" xfId="0" applyNumberFormat="1" applyFont="1" applyFill="1" applyBorder="1" applyAlignment="1">
      <alignment horizontal="center"/>
    </xf>
    <xf numFmtId="0" fontId="37" fillId="2" borderId="2" xfId="0" applyFont="1" applyFill="1" applyBorder="1" applyAlignment="1">
      <alignment horizontal="center"/>
    </xf>
    <xf numFmtId="164" fontId="45" fillId="2" borderId="1" xfId="0" applyNumberFormat="1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center" vertical="center"/>
    </xf>
    <xf numFmtId="164" fontId="44" fillId="2" borderId="1" xfId="0" applyNumberFormat="1" applyFont="1" applyFill="1" applyBorder="1" applyAlignment="1">
      <alignment horizontal="center" vertical="center"/>
    </xf>
    <xf numFmtId="164" fontId="3" fillId="14" borderId="2" xfId="0" applyNumberFormat="1" applyFont="1" applyFill="1" applyBorder="1" applyAlignment="1">
      <alignment horizontal="center" vertical="center" wrapText="1"/>
    </xf>
    <xf numFmtId="4" fontId="33" fillId="2" borderId="33" xfId="0" applyNumberFormat="1" applyFont="1" applyFill="1" applyBorder="1" applyAlignment="1">
      <alignment horizontal="center" vertical="center"/>
    </xf>
    <xf numFmtId="0" fontId="37" fillId="2" borderId="43" xfId="0" applyFont="1" applyFill="1" applyBorder="1" applyAlignment="1">
      <alignment horizontal="center"/>
    </xf>
    <xf numFmtId="164" fontId="45" fillId="2" borderId="44" xfId="0" applyNumberFormat="1" applyFont="1" applyFill="1" applyBorder="1" applyAlignment="1">
      <alignment horizontal="center" vertical="center"/>
    </xf>
    <xf numFmtId="0" fontId="37" fillId="2" borderId="45" xfId="0" applyFont="1" applyFill="1" applyBorder="1" applyAlignment="1">
      <alignment horizontal="center"/>
    </xf>
    <xf numFmtId="164" fontId="45" fillId="2" borderId="46" xfId="0" applyNumberFormat="1" applyFont="1" applyFill="1" applyBorder="1" applyAlignment="1">
      <alignment horizontal="center" vertical="center"/>
    </xf>
    <xf numFmtId="3" fontId="37" fillId="2" borderId="45" xfId="0" applyNumberFormat="1" applyFont="1" applyFill="1" applyBorder="1" applyAlignment="1">
      <alignment horizontal="center"/>
    </xf>
    <xf numFmtId="3" fontId="37" fillId="2" borderId="47" xfId="0" applyNumberFormat="1" applyFont="1" applyFill="1" applyBorder="1" applyAlignment="1">
      <alignment horizontal="center"/>
    </xf>
    <xf numFmtId="164" fontId="45" fillId="2" borderId="48" xfId="0" applyNumberFormat="1" applyFont="1" applyFill="1" applyBorder="1" applyAlignment="1">
      <alignment horizontal="center" vertical="center"/>
    </xf>
    <xf numFmtId="164" fontId="8" fillId="2" borderId="24" xfId="0" applyNumberFormat="1" applyFont="1" applyFill="1" applyBorder="1" applyAlignment="1">
      <alignment horizontal="center" vertical="center"/>
    </xf>
    <xf numFmtId="164" fontId="8" fillId="2" borderId="21" xfId="0" applyNumberFormat="1" applyFont="1" applyFill="1" applyBorder="1" applyAlignment="1">
      <alignment horizontal="center" vertical="center"/>
    </xf>
    <xf numFmtId="0" fontId="37" fillId="2" borderId="49" xfId="0" applyFont="1" applyFill="1" applyBorder="1" applyAlignment="1">
      <alignment horizontal="center" vertical="center" wrapText="1"/>
    </xf>
    <xf numFmtId="0" fontId="37" fillId="2" borderId="49" xfId="0" applyFont="1" applyFill="1" applyBorder="1" applyAlignment="1">
      <alignment horizontal="left" vertical="center" wrapText="1" indent="1"/>
    </xf>
    <xf numFmtId="4" fontId="33" fillId="2" borderId="49" xfId="0" applyNumberFormat="1" applyFont="1" applyFill="1" applyBorder="1" applyAlignment="1">
      <alignment horizontal="center" vertical="center"/>
    </xf>
    <xf numFmtId="4" fontId="33" fillId="2" borderId="31" xfId="0" applyNumberFormat="1" applyFont="1" applyFill="1" applyBorder="1" applyAlignment="1">
      <alignment horizontal="center" vertical="center"/>
    </xf>
    <xf numFmtId="4" fontId="33" fillId="2" borderId="21" xfId="0" applyNumberFormat="1" applyFont="1" applyFill="1" applyBorder="1" applyAlignment="1">
      <alignment horizontal="center" vertical="center"/>
    </xf>
    <xf numFmtId="14" fontId="0" fillId="2" borderId="17" xfId="0" applyNumberFormat="1" applyFill="1" applyBorder="1" applyAlignment="1">
      <alignment horizontal="center"/>
    </xf>
    <xf numFmtId="0" fontId="32" fillId="19" borderId="1" xfId="0" applyFont="1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19" fillId="0" borderId="3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27" fillId="8" borderId="0" xfId="0" applyFont="1" applyFill="1" applyAlignment="1">
      <alignment horizontal="center"/>
    </xf>
    <xf numFmtId="0" fontId="13" fillId="0" borderId="8" xfId="0" applyFont="1" applyBorder="1" applyAlignment="1">
      <alignment horizontal="left"/>
    </xf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/>
    </xf>
    <xf numFmtId="0" fontId="18" fillId="0" borderId="9" xfId="0" applyFont="1" applyBorder="1" applyAlignment="1">
      <alignment horizontal="center"/>
    </xf>
    <xf numFmtId="0" fontId="3" fillId="14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3" fillId="14" borderId="3" xfId="0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3" fillId="14" borderId="18" xfId="0" applyFont="1" applyFill="1" applyBorder="1" applyAlignment="1">
      <alignment horizontal="center" vertical="center" wrapText="1"/>
    </xf>
    <xf numFmtId="0" fontId="3" fillId="14" borderId="15" xfId="0" applyFont="1" applyFill="1" applyBorder="1" applyAlignment="1">
      <alignment horizontal="center" vertical="center" wrapText="1"/>
    </xf>
    <xf numFmtId="0" fontId="3" fillId="14" borderId="14" xfId="0" applyFont="1" applyFill="1" applyBorder="1" applyAlignment="1">
      <alignment horizontal="center" vertical="center"/>
    </xf>
    <xf numFmtId="0" fontId="3" fillId="14" borderId="18" xfId="0" applyFont="1" applyFill="1" applyBorder="1" applyAlignment="1">
      <alignment horizontal="center" vertical="center"/>
    </xf>
    <xf numFmtId="0" fontId="3" fillId="14" borderId="15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 wrapText="1"/>
    </xf>
    <xf numFmtId="0" fontId="3" fillId="14" borderId="14" xfId="0" applyFont="1" applyFill="1" applyBorder="1" applyAlignment="1">
      <alignment horizontal="center" vertical="center" wrapText="1"/>
    </xf>
    <xf numFmtId="0" fontId="8" fillId="0" borderId="22" xfId="1" applyFont="1" applyBorder="1" applyAlignment="1">
      <alignment horizontal="center" vertical="center" wrapText="1"/>
    </xf>
    <xf numFmtId="0" fontId="8" fillId="0" borderId="23" xfId="1" applyFont="1" applyBorder="1" applyAlignment="1">
      <alignment horizontal="center" vertical="center" wrapText="1"/>
    </xf>
    <xf numFmtId="0" fontId="8" fillId="0" borderId="24" xfId="1" applyFont="1" applyBorder="1" applyAlignment="1">
      <alignment horizontal="center" vertical="center" wrapText="1"/>
    </xf>
    <xf numFmtId="0" fontId="9" fillId="0" borderId="0" xfId="1" applyFont="1" applyAlignment="1">
      <alignment horizontal="left" vertical="center" indent="2"/>
    </xf>
    <xf numFmtId="0" fontId="27" fillId="0" borderId="0" xfId="0" applyFont="1" applyAlignment="1">
      <alignment horizontal="center"/>
    </xf>
    <xf numFmtId="0" fontId="30" fillId="6" borderId="0" xfId="0" applyFont="1" applyFill="1" applyAlignment="1">
      <alignment horizontal="left"/>
    </xf>
    <xf numFmtId="0" fontId="37" fillId="2" borderId="2" xfId="0" applyFont="1" applyFill="1" applyBorder="1" applyAlignment="1">
      <alignment horizontal="center" vertical="center" wrapText="1"/>
    </xf>
    <xf numFmtId="0" fontId="37" fillId="2" borderId="3" xfId="0" applyFont="1" applyFill="1" applyBorder="1" applyAlignment="1">
      <alignment horizontal="center" vertical="center" wrapText="1"/>
    </xf>
    <xf numFmtId="0" fontId="37" fillId="2" borderId="5" xfId="0" applyFont="1" applyFill="1" applyBorder="1" applyAlignment="1">
      <alignment horizontal="center" vertical="center" wrapText="1"/>
    </xf>
    <xf numFmtId="0" fontId="3" fillId="14" borderId="41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3" fillId="14" borderId="40" xfId="0" applyFont="1" applyFill="1" applyBorder="1" applyAlignment="1">
      <alignment horizontal="center" vertical="center" wrapText="1"/>
    </xf>
    <xf numFmtId="0" fontId="37" fillId="2" borderId="38" xfId="0" applyFont="1" applyFill="1" applyBorder="1" applyAlignment="1">
      <alignment horizontal="right" vertical="center" wrapText="1"/>
    </xf>
    <xf numFmtId="0" fontId="37" fillId="2" borderId="34" xfId="0" applyFont="1" applyFill="1" applyBorder="1" applyAlignment="1">
      <alignment horizontal="right" vertical="center" wrapText="1"/>
    </xf>
    <xf numFmtId="0" fontId="37" fillId="2" borderId="42" xfId="0" applyFont="1" applyFill="1" applyBorder="1" applyAlignment="1">
      <alignment horizontal="right" vertical="center" wrapText="1"/>
    </xf>
    <xf numFmtId="0" fontId="37" fillId="2" borderId="37" xfId="0" applyFont="1" applyFill="1" applyBorder="1" applyAlignment="1">
      <alignment horizontal="right" vertical="center" wrapText="1"/>
    </xf>
    <xf numFmtId="0" fontId="37" fillId="2" borderId="22" xfId="0" applyFont="1" applyFill="1" applyBorder="1" applyAlignment="1">
      <alignment horizontal="right" vertical="center" wrapText="1"/>
    </xf>
    <xf numFmtId="0" fontId="37" fillId="2" borderId="24" xfId="0" applyFont="1" applyFill="1" applyBorder="1" applyAlignment="1">
      <alignment horizontal="right" vertical="center" wrapText="1"/>
    </xf>
    <xf numFmtId="0" fontId="37" fillId="2" borderId="30" xfId="0" applyFont="1" applyFill="1" applyBorder="1" applyAlignment="1">
      <alignment horizontal="right" vertical="center" wrapText="1"/>
    </xf>
    <xf numFmtId="0" fontId="37" fillId="2" borderId="12" xfId="0" applyFont="1" applyFill="1" applyBorder="1" applyAlignment="1">
      <alignment horizontal="right" vertical="center" wrapText="1"/>
    </xf>
    <xf numFmtId="14" fontId="3" fillId="14" borderId="16" xfId="0" applyNumberFormat="1" applyFont="1" applyFill="1" applyBorder="1" applyAlignment="1">
      <alignment horizontal="center" vertical="center" wrapText="1"/>
    </xf>
    <xf numFmtId="14" fontId="3" fillId="14" borderId="0" xfId="0" applyNumberFormat="1" applyFont="1" applyFill="1" applyAlignment="1">
      <alignment horizontal="center" vertical="center" wrapText="1"/>
    </xf>
    <xf numFmtId="14" fontId="3" fillId="14" borderId="20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 2" xfId="1" xr:uid="{00000000-0005-0000-0000-000001000000}"/>
  </cellStyles>
  <dxfs count="311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gray0625">
          <bgColor theme="6" tint="0.39991454817346722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 patternType="lightTrellis"/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theme="3" tint="-0.499984740745262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137584</xdr:colOff>
      <xdr:row>10</xdr:row>
      <xdr:rowOff>148167</xdr:rowOff>
    </xdr:from>
    <xdr:to>
      <xdr:col>4</xdr:col>
      <xdr:colOff>285750</xdr:colOff>
      <xdr:row>11</xdr:row>
      <xdr:rowOff>624417</xdr:rowOff>
    </xdr:to>
    <xdr:sp macro="[0]!GenerarCronograma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02667" y="2053167"/>
          <a:ext cx="1185333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prueba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57</xdr:row>
          <xdr:rowOff>66675</xdr:rowOff>
        </xdr:from>
        <xdr:to>
          <xdr:col>8</xdr:col>
          <xdr:colOff>800100</xdr:colOff>
          <xdr:row>61</xdr:row>
          <xdr:rowOff>28575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Cronograma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27069</xdr:colOff>
      <xdr:row>82</xdr:row>
      <xdr:rowOff>9778</xdr:rowOff>
    </xdr:from>
    <xdr:to>
      <xdr:col>2</xdr:col>
      <xdr:colOff>207069</xdr:colOff>
      <xdr:row>82</xdr:row>
      <xdr:rowOff>189778</xdr:rowOff>
    </xdr:to>
    <xdr:sp macro="" textlink="">
      <xdr:nvSpPr>
        <xdr:cNvPr id="22" name="21 Heptágon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551069" y="21857120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55</xdr:row>
          <xdr:rowOff>38100</xdr:rowOff>
        </xdr:from>
        <xdr:to>
          <xdr:col>3</xdr:col>
          <xdr:colOff>914400</xdr:colOff>
          <xdr:row>56</xdr:row>
          <xdr:rowOff>76200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04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27069</xdr:colOff>
      <xdr:row>82</xdr:row>
      <xdr:rowOff>200526</xdr:rowOff>
    </xdr:from>
    <xdr:to>
      <xdr:col>2</xdr:col>
      <xdr:colOff>207069</xdr:colOff>
      <xdr:row>83</xdr:row>
      <xdr:rowOff>180000</xdr:rowOff>
    </xdr:to>
    <xdr:sp macro="" textlink="">
      <xdr:nvSpPr>
        <xdr:cNvPr id="15" name="21 Heptágono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1551069" y="2204786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2</a:t>
          </a:r>
        </a:p>
      </xdr:txBody>
    </xdr:sp>
    <xdr:clientData/>
  </xdr:twoCellAnchor>
  <xdr:twoCellAnchor>
    <xdr:from>
      <xdr:col>2</xdr:col>
      <xdr:colOff>27069</xdr:colOff>
      <xdr:row>83</xdr:row>
      <xdr:rowOff>190500</xdr:rowOff>
    </xdr:from>
    <xdr:to>
      <xdr:col>2</xdr:col>
      <xdr:colOff>207069</xdr:colOff>
      <xdr:row>84</xdr:row>
      <xdr:rowOff>180000</xdr:rowOff>
    </xdr:to>
    <xdr:sp macro="" textlink="">
      <xdr:nvSpPr>
        <xdr:cNvPr id="16" name="21 Heptágono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551069" y="2223836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3</a:t>
          </a:r>
        </a:p>
      </xdr:txBody>
    </xdr:sp>
    <xdr:clientData/>
  </xdr:twoCellAnchor>
  <xdr:twoCellAnchor>
    <xdr:from>
      <xdr:col>2</xdr:col>
      <xdr:colOff>27069</xdr:colOff>
      <xdr:row>84</xdr:row>
      <xdr:rowOff>190500</xdr:rowOff>
    </xdr:from>
    <xdr:to>
      <xdr:col>2</xdr:col>
      <xdr:colOff>207069</xdr:colOff>
      <xdr:row>85</xdr:row>
      <xdr:rowOff>180000</xdr:rowOff>
    </xdr:to>
    <xdr:sp macro="" textlink="">
      <xdr:nvSpPr>
        <xdr:cNvPr id="17" name="21 Heptágono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551069" y="2242886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4</a:t>
          </a:r>
        </a:p>
      </xdr:txBody>
    </xdr:sp>
    <xdr:clientData/>
  </xdr:twoCellAnchor>
  <xdr:twoCellAnchor>
    <xdr:from>
      <xdr:col>2</xdr:col>
      <xdr:colOff>27069</xdr:colOff>
      <xdr:row>85</xdr:row>
      <xdr:rowOff>190500</xdr:rowOff>
    </xdr:from>
    <xdr:to>
      <xdr:col>2</xdr:col>
      <xdr:colOff>207069</xdr:colOff>
      <xdr:row>86</xdr:row>
      <xdr:rowOff>180000</xdr:rowOff>
    </xdr:to>
    <xdr:sp macro="" textlink="">
      <xdr:nvSpPr>
        <xdr:cNvPr id="18" name="21 Heptágono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51069" y="2261936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2</xdr:col>
      <xdr:colOff>27069</xdr:colOff>
      <xdr:row>86</xdr:row>
      <xdr:rowOff>190500</xdr:rowOff>
    </xdr:from>
    <xdr:to>
      <xdr:col>2</xdr:col>
      <xdr:colOff>207069</xdr:colOff>
      <xdr:row>87</xdr:row>
      <xdr:rowOff>180000</xdr:rowOff>
    </xdr:to>
    <xdr:sp macro="" textlink="">
      <xdr:nvSpPr>
        <xdr:cNvPr id="19" name="21 Heptágon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551069" y="2280986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733425</xdr:colOff>
          <xdr:row>3</xdr:row>
          <xdr:rowOff>142875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5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sch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209550</xdr:rowOff>
        </xdr:from>
        <xdr:to>
          <xdr:col>0</xdr:col>
          <xdr:colOff>723900</xdr:colOff>
          <xdr:row>3</xdr:row>
          <xdr:rowOff>857250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5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 Maq.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38100</xdr:rowOff>
        </xdr:from>
        <xdr:to>
          <xdr:col>0</xdr:col>
          <xdr:colOff>723900</xdr:colOff>
          <xdr:row>6</xdr:row>
          <xdr:rowOff>66675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5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12</xdr:row>
          <xdr:rowOff>19050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5124" name="CheckBox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13</xdr:row>
          <xdr:rowOff>9525</xdr:rowOff>
        </xdr:from>
        <xdr:to>
          <xdr:col>2</xdr:col>
          <xdr:colOff>561975</xdr:colOff>
          <xdr:row>13</xdr:row>
          <xdr:rowOff>180975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14</xdr:row>
          <xdr:rowOff>19050</xdr:rowOff>
        </xdr:from>
        <xdr:to>
          <xdr:col>2</xdr:col>
          <xdr:colOff>561975</xdr:colOff>
          <xdr:row>15</xdr:row>
          <xdr:rowOff>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7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9525</xdr:rowOff>
        </xdr:from>
        <xdr:to>
          <xdr:col>2</xdr:col>
          <xdr:colOff>552450</xdr:colOff>
          <xdr:row>15</xdr:row>
          <xdr:rowOff>180975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7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16</xdr:row>
          <xdr:rowOff>9525</xdr:rowOff>
        </xdr:from>
        <xdr:to>
          <xdr:col>2</xdr:col>
          <xdr:colOff>552450</xdr:colOff>
          <xdr:row>16</xdr:row>
          <xdr:rowOff>180975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17</xdr:row>
          <xdr:rowOff>9525</xdr:rowOff>
        </xdr:from>
        <xdr:to>
          <xdr:col>2</xdr:col>
          <xdr:colOff>552450</xdr:colOff>
          <xdr:row>17</xdr:row>
          <xdr:rowOff>171450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606136</xdr:colOff>
      <xdr:row>10</xdr:row>
      <xdr:rowOff>5196</xdr:rowOff>
    </xdr:from>
    <xdr:to>
      <xdr:col>10</xdr:col>
      <xdr:colOff>50480</xdr:colOff>
      <xdr:row>10</xdr:row>
      <xdr:rowOff>190499</xdr:rowOff>
    </xdr:to>
    <xdr:sp macro="" textlink="">
      <xdr:nvSpPr>
        <xdr:cNvPr id="26" name="25 Heptágono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 flipH="1">
          <a:off x="9607261" y="19275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2</a:t>
          </a:r>
        </a:p>
      </xdr:txBody>
    </xdr:sp>
    <xdr:clientData/>
  </xdr:twoCellAnchor>
  <xdr:twoCellAnchor>
    <xdr:from>
      <xdr:col>9</xdr:col>
      <xdr:colOff>606136</xdr:colOff>
      <xdr:row>11</xdr:row>
      <xdr:rowOff>5196</xdr:rowOff>
    </xdr:from>
    <xdr:to>
      <xdr:col>10</xdr:col>
      <xdr:colOff>50480</xdr:colOff>
      <xdr:row>11</xdr:row>
      <xdr:rowOff>190499</xdr:rowOff>
    </xdr:to>
    <xdr:sp macro="" textlink="">
      <xdr:nvSpPr>
        <xdr:cNvPr id="27" name="26 Heptágon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 flipH="1">
          <a:off x="9607261" y="21180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3</a:t>
          </a:r>
        </a:p>
      </xdr:txBody>
    </xdr:sp>
    <xdr:clientData/>
  </xdr:twoCellAnchor>
  <xdr:twoCellAnchor>
    <xdr:from>
      <xdr:col>9</xdr:col>
      <xdr:colOff>606136</xdr:colOff>
      <xdr:row>12</xdr:row>
      <xdr:rowOff>5196</xdr:rowOff>
    </xdr:from>
    <xdr:to>
      <xdr:col>10</xdr:col>
      <xdr:colOff>50480</xdr:colOff>
      <xdr:row>12</xdr:row>
      <xdr:rowOff>190499</xdr:rowOff>
    </xdr:to>
    <xdr:sp macro="" textlink="">
      <xdr:nvSpPr>
        <xdr:cNvPr id="28" name="27 Heptágono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 flipH="1">
          <a:off x="9607261" y="2317173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4</a:t>
          </a:r>
        </a:p>
      </xdr:txBody>
    </xdr:sp>
    <xdr:clientData/>
  </xdr:twoCellAnchor>
  <xdr:twoCellAnchor>
    <xdr:from>
      <xdr:col>9</xdr:col>
      <xdr:colOff>606136</xdr:colOff>
      <xdr:row>13</xdr:row>
      <xdr:rowOff>5196</xdr:rowOff>
    </xdr:from>
    <xdr:to>
      <xdr:col>10</xdr:col>
      <xdr:colOff>50480</xdr:colOff>
      <xdr:row>13</xdr:row>
      <xdr:rowOff>190499</xdr:rowOff>
    </xdr:to>
    <xdr:sp macro="" textlink="">
      <xdr:nvSpPr>
        <xdr:cNvPr id="29" name="28 Heptágono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 flipH="1">
          <a:off x="9607261" y="2507673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9</xdr:col>
      <xdr:colOff>606136</xdr:colOff>
      <xdr:row>14</xdr:row>
      <xdr:rowOff>5196</xdr:rowOff>
    </xdr:from>
    <xdr:to>
      <xdr:col>10</xdr:col>
      <xdr:colOff>50480</xdr:colOff>
      <xdr:row>14</xdr:row>
      <xdr:rowOff>190499</xdr:rowOff>
    </xdr:to>
    <xdr:sp macro="" textlink="">
      <xdr:nvSpPr>
        <xdr:cNvPr id="30" name="29 Heptágono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 flipH="1">
          <a:off x="9607261" y="2698173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xdr:twoCellAnchor>
    <xdr:from>
      <xdr:col>9</xdr:col>
      <xdr:colOff>606136</xdr:colOff>
      <xdr:row>9</xdr:row>
      <xdr:rowOff>5196</xdr:rowOff>
    </xdr:from>
    <xdr:to>
      <xdr:col>10</xdr:col>
      <xdr:colOff>50480</xdr:colOff>
      <xdr:row>9</xdr:row>
      <xdr:rowOff>190499</xdr:rowOff>
    </xdr:to>
    <xdr:sp macro="" textlink="">
      <xdr:nvSpPr>
        <xdr:cNvPr id="31" name="30 Heptágono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 flipH="1">
          <a:off x="9607261" y="19275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</a:t>
          </a:r>
        </a:p>
      </xdr:txBody>
    </xdr:sp>
    <xdr:clientData/>
  </xdr:twoCellAnchor>
  <xdr:twoCellAnchor>
    <xdr:from>
      <xdr:col>9</xdr:col>
      <xdr:colOff>606136</xdr:colOff>
      <xdr:row>14</xdr:row>
      <xdr:rowOff>5196</xdr:rowOff>
    </xdr:from>
    <xdr:to>
      <xdr:col>10</xdr:col>
      <xdr:colOff>50480</xdr:colOff>
      <xdr:row>14</xdr:row>
      <xdr:rowOff>190499</xdr:rowOff>
    </xdr:to>
    <xdr:sp macro="" textlink="">
      <xdr:nvSpPr>
        <xdr:cNvPr id="32" name="31 Heptágono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 flipH="1">
          <a:off x="9615665" y="25153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9</xdr:col>
      <xdr:colOff>606136</xdr:colOff>
      <xdr:row>14</xdr:row>
      <xdr:rowOff>5196</xdr:rowOff>
    </xdr:from>
    <xdr:to>
      <xdr:col>10</xdr:col>
      <xdr:colOff>50480</xdr:colOff>
      <xdr:row>14</xdr:row>
      <xdr:rowOff>190499</xdr:rowOff>
    </xdr:to>
    <xdr:sp macro="" textlink="">
      <xdr:nvSpPr>
        <xdr:cNvPr id="33" name="32 Heptágono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 flipH="1">
          <a:off x="9615665" y="25153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xdr:twoCellAnchor>
    <xdr:from>
      <xdr:col>9</xdr:col>
      <xdr:colOff>606136</xdr:colOff>
      <xdr:row>15</xdr:row>
      <xdr:rowOff>5196</xdr:rowOff>
    </xdr:from>
    <xdr:to>
      <xdr:col>10</xdr:col>
      <xdr:colOff>50480</xdr:colOff>
      <xdr:row>15</xdr:row>
      <xdr:rowOff>190499</xdr:rowOff>
    </xdr:to>
    <xdr:sp macro="" textlink="">
      <xdr:nvSpPr>
        <xdr:cNvPr id="34" name="33 Heptágono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 flipH="1">
          <a:off x="9615665" y="27058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xdr:twoCellAnchor>
    <xdr:from>
      <xdr:col>9</xdr:col>
      <xdr:colOff>606136</xdr:colOff>
      <xdr:row>15</xdr:row>
      <xdr:rowOff>5196</xdr:rowOff>
    </xdr:from>
    <xdr:to>
      <xdr:col>10</xdr:col>
      <xdr:colOff>50480</xdr:colOff>
      <xdr:row>15</xdr:row>
      <xdr:rowOff>190499</xdr:rowOff>
    </xdr:to>
    <xdr:sp macro="" textlink="">
      <xdr:nvSpPr>
        <xdr:cNvPr id="35" name="34 Heptágono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>
        <a:xfrm flipH="1">
          <a:off x="9615665" y="27058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9</xdr:col>
      <xdr:colOff>606136</xdr:colOff>
      <xdr:row>15</xdr:row>
      <xdr:rowOff>5196</xdr:rowOff>
    </xdr:from>
    <xdr:to>
      <xdr:col>10</xdr:col>
      <xdr:colOff>50480</xdr:colOff>
      <xdr:row>15</xdr:row>
      <xdr:rowOff>190499</xdr:rowOff>
    </xdr:to>
    <xdr:sp macro="" textlink="">
      <xdr:nvSpPr>
        <xdr:cNvPr id="36" name="35 Heptágono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>
        <a:xfrm flipH="1">
          <a:off x="9615665" y="27058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7</a:t>
          </a:r>
        </a:p>
      </xdr:txBody>
    </xdr:sp>
    <xdr:clientData/>
  </xdr:twoCellAnchor>
  <xdr:twoCellAnchor>
    <xdr:from>
      <xdr:col>9</xdr:col>
      <xdr:colOff>606136</xdr:colOff>
      <xdr:row>16</xdr:row>
      <xdr:rowOff>5196</xdr:rowOff>
    </xdr:from>
    <xdr:to>
      <xdr:col>10</xdr:col>
      <xdr:colOff>50480</xdr:colOff>
      <xdr:row>16</xdr:row>
      <xdr:rowOff>190499</xdr:rowOff>
    </xdr:to>
    <xdr:sp macro="" textlink="">
      <xdr:nvSpPr>
        <xdr:cNvPr id="37" name="36 Heptágono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 flipH="1">
          <a:off x="9615665" y="27058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xdr:twoCellAnchor>
    <xdr:from>
      <xdr:col>9</xdr:col>
      <xdr:colOff>606136</xdr:colOff>
      <xdr:row>16</xdr:row>
      <xdr:rowOff>5196</xdr:rowOff>
    </xdr:from>
    <xdr:to>
      <xdr:col>10</xdr:col>
      <xdr:colOff>50480</xdr:colOff>
      <xdr:row>16</xdr:row>
      <xdr:rowOff>190499</xdr:rowOff>
    </xdr:to>
    <xdr:sp macro="" textlink="">
      <xdr:nvSpPr>
        <xdr:cNvPr id="38" name="37 Heptágono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>
        <a:xfrm flipH="1">
          <a:off x="9615665" y="27058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9</xdr:col>
      <xdr:colOff>606136</xdr:colOff>
      <xdr:row>16</xdr:row>
      <xdr:rowOff>5196</xdr:rowOff>
    </xdr:from>
    <xdr:to>
      <xdr:col>10</xdr:col>
      <xdr:colOff>50480</xdr:colOff>
      <xdr:row>16</xdr:row>
      <xdr:rowOff>190499</xdr:rowOff>
    </xdr:to>
    <xdr:sp macro="" textlink="">
      <xdr:nvSpPr>
        <xdr:cNvPr id="39" name="38 Heptágono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 flipH="1">
          <a:off x="9615665" y="2705814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20</xdr:row>
          <xdr:rowOff>123825</xdr:rowOff>
        </xdr:from>
        <xdr:to>
          <xdr:col>7</xdr:col>
          <xdr:colOff>247650</xdr:colOff>
          <xdr:row>21</xdr:row>
          <xdr:rowOff>266700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Tabla de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34</xdr:row>
          <xdr:rowOff>161925</xdr:rowOff>
        </xdr:from>
        <xdr:to>
          <xdr:col>2</xdr:col>
          <xdr:colOff>914400</xdr:colOff>
          <xdr:row>37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7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Tablas Cálculo Días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34</xdr:row>
          <xdr:rowOff>161925</xdr:rowOff>
        </xdr:from>
        <xdr:to>
          <xdr:col>5</xdr:col>
          <xdr:colOff>638175</xdr:colOff>
          <xdr:row>37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Cálculo Días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5</xdr:row>
          <xdr:rowOff>0</xdr:rowOff>
        </xdr:from>
        <xdr:to>
          <xdr:col>5</xdr:col>
          <xdr:colOff>209550</xdr:colOff>
          <xdr:row>7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180975</xdr:rowOff>
        </xdr:from>
        <xdr:to>
          <xdr:col>10</xdr:col>
          <xdr:colOff>238125</xdr:colOff>
          <xdr:row>4</xdr:row>
          <xdr:rowOff>19050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Tabla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16</xdr:row>
          <xdr:rowOff>9525</xdr:rowOff>
        </xdr:from>
        <xdr:to>
          <xdr:col>2</xdr:col>
          <xdr:colOff>1895475</xdr:colOff>
          <xdr:row>19</xdr:row>
          <xdr:rowOff>19050</xdr:rowOff>
        </xdr:to>
        <xdr:sp macro="" textlink="">
          <xdr:nvSpPr>
            <xdr:cNvPr id="481281" name="Button 1" hidden="1">
              <a:extLst>
                <a:ext uri="{63B3BB69-23CF-44E3-9099-C40C66FF867C}">
                  <a14:compatExt spid="_x0000_s481281"/>
                </a:ext>
                <a:ext uri="{FF2B5EF4-FFF2-40B4-BE49-F238E27FC236}">
                  <a16:creationId xmlns:a16="http://schemas.microsoft.com/office/drawing/2014/main" id="{00000000-0008-0000-0900-0000015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Honorarios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13</xdr:row>
          <xdr:rowOff>28575</xdr:rowOff>
        </xdr:from>
        <xdr:to>
          <xdr:col>2</xdr:col>
          <xdr:colOff>2933700</xdr:colOff>
          <xdr:row>16</xdr:row>
          <xdr:rowOff>28575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0A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Resumen de Costos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606136</xdr:colOff>
      <xdr:row>22</xdr:row>
      <xdr:rowOff>5196</xdr:rowOff>
    </xdr:from>
    <xdr:to>
      <xdr:col>2</xdr:col>
      <xdr:colOff>50480</xdr:colOff>
      <xdr:row>22</xdr:row>
      <xdr:rowOff>190499</xdr:rowOff>
    </xdr:to>
    <xdr:sp macro="" textlink="">
      <xdr:nvSpPr>
        <xdr:cNvPr id="17" name="16 Heptágono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 flipH="1">
          <a:off x="10083511" y="1938771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2</a:t>
          </a:r>
        </a:p>
      </xdr:txBody>
    </xdr:sp>
    <xdr:clientData/>
  </xdr:twoCellAnchor>
  <xdr:twoCellAnchor>
    <xdr:from>
      <xdr:col>1</xdr:col>
      <xdr:colOff>606136</xdr:colOff>
      <xdr:row>23</xdr:row>
      <xdr:rowOff>5196</xdr:rowOff>
    </xdr:from>
    <xdr:to>
      <xdr:col>2</xdr:col>
      <xdr:colOff>50480</xdr:colOff>
      <xdr:row>23</xdr:row>
      <xdr:rowOff>190499</xdr:rowOff>
    </xdr:to>
    <xdr:sp macro="" textlink="">
      <xdr:nvSpPr>
        <xdr:cNvPr id="18" name="17 Heptágon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 flipH="1">
          <a:off x="10083511" y="2129271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3</a:t>
          </a:r>
        </a:p>
      </xdr:txBody>
    </xdr:sp>
    <xdr:clientData/>
  </xdr:twoCellAnchor>
  <xdr:twoCellAnchor>
    <xdr:from>
      <xdr:col>1</xdr:col>
      <xdr:colOff>606136</xdr:colOff>
      <xdr:row>24</xdr:row>
      <xdr:rowOff>5196</xdr:rowOff>
    </xdr:from>
    <xdr:to>
      <xdr:col>2</xdr:col>
      <xdr:colOff>50480</xdr:colOff>
      <xdr:row>24</xdr:row>
      <xdr:rowOff>190499</xdr:rowOff>
    </xdr:to>
    <xdr:sp macro="" textlink="">
      <xdr:nvSpPr>
        <xdr:cNvPr id="19" name="18 Heptágono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 flipH="1">
          <a:off x="10083511" y="2329296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4</a:t>
          </a:r>
        </a:p>
      </xdr:txBody>
    </xdr:sp>
    <xdr:clientData/>
  </xdr:twoCellAnchor>
  <xdr:twoCellAnchor>
    <xdr:from>
      <xdr:col>1</xdr:col>
      <xdr:colOff>606136</xdr:colOff>
      <xdr:row>21</xdr:row>
      <xdr:rowOff>5196</xdr:rowOff>
    </xdr:from>
    <xdr:to>
      <xdr:col>2</xdr:col>
      <xdr:colOff>50480</xdr:colOff>
      <xdr:row>21</xdr:row>
      <xdr:rowOff>190499</xdr:rowOff>
    </xdr:to>
    <xdr:sp macro="" textlink="">
      <xdr:nvSpPr>
        <xdr:cNvPr id="22" name="21 Heptágono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 flipH="1">
          <a:off x="10083511" y="1748271"/>
          <a:ext cx="206344" cy="185303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733425</xdr:colOff>
          <xdr:row>3</xdr:row>
          <xdr:rowOff>142875</xdr:rowOff>
        </xdr:to>
        <xdr:sp macro="" textlink="">
          <xdr:nvSpPr>
            <xdr:cNvPr id="532481" name="Button 1" hidden="1">
              <a:extLst>
                <a:ext uri="{63B3BB69-23CF-44E3-9099-C40C66FF867C}">
                  <a14:compatExt spid="_x0000_s532481"/>
                </a:ext>
                <a:ext uri="{FF2B5EF4-FFF2-40B4-BE49-F238E27FC236}">
                  <a16:creationId xmlns:a16="http://schemas.microsoft.com/office/drawing/2014/main" id="{00000000-0008-0000-0C00-0000012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sch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209550</xdr:rowOff>
        </xdr:from>
        <xdr:to>
          <xdr:col>0</xdr:col>
          <xdr:colOff>723900</xdr:colOff>
          <xdr:row>3</xdr:row>
          <xdr:rowOff>857250</xdr:rowOff>
        </xdr:to>
        <xdr:sp macro="" textlink="">
          <xdr:nvSpPr>
            <xdr:cNvPr id="532482" name="Button 2" hidden="1">
              <a:extLst>
                <a:ext uri="{63B3BB69-23CF-44E3-9099-C40C66FF867C}">
                  <a14:compatExt spid="_x0000_s532482"/>
                </a:ext>
                <a:ext uri="{FF2B5EF4-FFF2-40B4-BE49-F238E27FC236}">
                  <a16:creationId xmlns:a16="http://schemas.microsoft.com/office/drawing/2014/main" id="{00000000-0008-0000-0C00-0000022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 Maq.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38100</xdr:rowOff>
        </xdr:from>
        <xdr:to>
          <xdr:col>0</xdr:col>
          <xdr:colOff>723900</xdr:colOff>
          <xdr:row>6</xdr:row>
          <xdr:rowOff>66675</xdr:rowOff>
        </xdr:to>
        <xdr:sp macro="" textlink="">
          <xdr:nvSpPr>
            <xdr:cNvPr id="532483" name="Button 3" hidden="1">
              <a:extLst>
                <a:ext uri="{63B3BB69-23CF-44E3-9099-C40C66FF867C}">
                  <a14:compatExt spid="_x0000_s532483"/>
                </a:ext>
                <a:ext uri="{FF2B5EF4-FFF2-40B4-BE49-F238E27FC236}">
                  <a16:creationId xmlns:a16="http://schemas.microsoft.com/office/drawing/2014/main" id="{00000000-0008-0000-0C00-0000032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14</xdr:row>
          <xdr:rowOff>38100</xdr:rowOff>
        </xdr:from>
        <xdr:to>
          <xdr:col>3</xdr:col>
          <xdr:colOff>914400</xdr:colOff>
          <xdr:row>15</xdr:row>
          <xdr:rowOff>76200</xdr:rowOff>
        </xdr:to>
        <xdr:sp macro="" textlink="">
          <xdr:nvSpPr>
            <xdr:cNvPr id="537601" name="Button 1" hidden="1">
              <a:extLst>
                <a:ext uri="{63B3BB69-23CF-44E3-9099-C40C66FF867C}">
                  <a14:compatExt spid="_x0000_s537601"/>
                </a:ext>
                <a:ext uri="{FF2B5EF4-FFF2-40B4-BE49-F238E27FC236}">
                  <a16:creationId xmlns:a16="http://schemas.microsoft.com/office/drawing/2014/main" id="{00000000-0008-0000-0D00-0000013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27069</xdr:colOff>
      <xdr:row>17</xdr:row>
      <xdr:rowOff>9778</xdr:rowOff>
    </xdr:from>
    <xdr:to>
      <xdr:col>11</xdr:col>
      <xdr:colOff>207069</xdr:colOff>
      <xdr:row>17</xdr:row>
      <xdr:rowOff>189778</xdr:rowOff>
    </xdr:to>
    <xdr:sp macro="" textlink="">
      <xdr:nvSpPr>
        <xdr:cNvPr id="2" name="21 Heptágon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551069" y="2186012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</a:t>
          </a:r>
        </a:p>
      </xdr:txBody>
    </xdr:sp>
    <xdr:clientData/>
  </xdr:twoCellAnchor>
  <xdr:twoCellAnchor>
    <xdr:from>
      <xdr:col>11</xdr:col>
      <xdr:colOff>27069</xdr:colOff>
      <xdr:row>17</xdr:row>
      <xdr:rowOff>200526</xdr:rowOff>
    </xdr:from>
    <xdr:to>
      <xdr:col>11</xdr:col>
      <xdr:colOff>207069</xdr:colOff>
      <xdr:row>18</xdr:row>
      <xdr:rowOff>180000</xdr:rowOff>
    </xdr:to>
    <xdr:sp macro="" textlink="">
      <xdr:nvSpPr>
        <xdr:cNvPr id="3" name="21 Heptágon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551069" y="22050876"/>
          <a:ext cx="180000" cy="179499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2</a:t>
          </a:r>
        </a:p>
      </xdr:txBody>
    </xdr:sp>
    <xdr:clientData/>
  </xdr:twoCellAnchor>
  <xdr:twoCellAnchor>
    <xdr:from>
      <xdr:col>11</xdr:col>
      <xdr:colOff>27069</xdr:colOff>
      <xdr:row>18</xdr:row>
      <xdr:rowOff>190500</xdr:rowOff>
    </xdr:from>
    <xdr:to>
      <xdr:col>11</xdr:col>
      <xdr:colOff>207069</xdr:colOff>
      <xdr:row>19</xdr:row>
      <xdr:rowOff>180000</xdr:rowOff>
    </xdr:to>
    <xdr:sp macro="" textlink="">
      <xdr:nvSpPr>
        <xdr:cNvPr id="4" name="21 Heptágon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551069" y="222408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3</a:t>
          </a:r>
        </a:p>
      </xdr:txBody>
    </xdr:sp>
    <xdr:clientData/>
  </xdr:twoCellAnchor>
  <xdr:twoCellAnchor>
    <xdr:from>
      <xdr:col>11</xdr:col>
      <xdr:colOff>27069</xdr:colOff>
      <xdr:row>19</xdr:row>
      <xdr:rowOff>190500</xdr:rowOff>
    </xdr:from>
    <xdr:to>
      <xdr:col>11</xdr:col>
      <xdr:colOff>207069</xdr:colOff>
      <xdr:row>20</xdr:row>
      <xdr:rowOff>180000</xdr:rowOff>
    </xdr:to>
    <xdr:sp macro="" textlink="">
      <xdr:nvSpPr>
        <xdr:cNvPr id="5" name="21 Heptágono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551069" y="224313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4</a:t>
          </a:r>
        </a:p>
      </xdr:txBody>
    </xdr:sp>
    <xdr:clientData/>
  </xdr:twoCellAnchor>
  <xdr:twoCellAnchor>
    <xdr:from>
      <xdr:col>11</xdr:col>
      <xdr:colOff>27069</xdr:colOff>
      <xdr:row>20</xdr:row>
      <xdr:rowOff>190500</xdr:rowOff>
    </xdr:from>
    <xdr:to>
      <xdr:col>11</xdr:col>
      <xdr:colOff>207069</xdr:colOff>
      <xdr:row>21</xdr:row>
      <xdr:rowOff>180000</xdr:rowOff>
    </xdr:to>
    <xdr:sp macro="" textlink="">
      <xdr:nvSpPr>
        <xdr:cNvPr id="6" name="21 Heptágono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551069" y="226218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11</xdr:col>
      <xdr:colOff>27069</xdr:colOff>
      <xdr:row>21</xdr:row>
      <xdr:rowOff>190500</xdr:rowOff>
    </xdr:from>
    <xdr:to>
      <xdr:col>11</xdr:col>
      <xdr:colOff>207069</xdr:colOff>
      <xdr:row>22</xdr:row>
      <xdr:rowOff>180000</xdr:rowOff>
    </xdr:to>
    <xdr:sp macro="" textlink="">
      <xdr:nvSpPr>
        <xdr:cNvPr id="7" name="21 Heptágono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551069" y="228123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14</xdr:row>
          <xdr:rowOff>38100</xdr:rowOff>
        </xdr:from>
        <xdr:to>
          <xdr:col>3</xdr:col>
          <xdr:colOff>914400</xdr:colOff>
          <xdr:row>15</xdr:row>
          <xdr:rowOff>76200</xdr:rowOff>
        </xdr:to>
        <xdr:sp macro="" textlink="">
          <xdr:nvSpPr>
            <xdr:cNvPr id="537603" name="Button 3" hidden="1">
              <a:extLst>
                <a:ext uri="{63B3BB69-23CF-44E3-9099-C40C66FF867C}">
                  <a14:compatExt spid="_x0000_s537603"/>
                </a:ext>
                <a:ext uri="{FF2B5EF4-FFF2-40B4-BE49-F238E27FC236}">
                  <a16:creationId xmlns:a16="http://schemas.microsoft.com/office/drawing/2014/main" id="{00000000-0008-0000-0D00-0000033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19</xdr:row>
          <xdr:rowOff>66675</xdr:rowOff>
        </xdr:from>
        <xdr:to>
          <xdr:col>8</xdr:col>
          <xdr:colOff>800100</xdr:colOff>
          <xdr:row>23</xdr:row>
          <xdr:rowOff>28575</xdr:rowOff>
        </xdr:to>
        <xdr:sp macro="" textlink="">
          <xdr:nvSpPr>
            <xdr:cNvPr id="537604" name="Button 4" hidden="1">
              <a:extLst>
                <a:ext uri="{63B3BB69-23CF-44E3-9099-C40C66FF867C}">
                  <a14:compatExt spid="_x0000_s537604"/>
                </a:ext>
                <a:ext uri="{FF2B5EF4-FFF2-40B4-BE49-F238E27FC236}">
                  <a16:creationId xmlns:a16="http://schemas.microsoft.com/office/drawing/2014/main" id="{00000000-0008-0000-0D00-0000043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Cronograma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733425</xdr:colOff>
          <xdr:row>3</xdr:row>
          <xdr:rowOff>142875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  <a:ext uri="{FF2B5EF4-FFF2-40B4-BE49-F238E27FC236}">
                  <a16:creationId xmlns:a16="http://schemas.microsoft.com/office/drawing/2014/main" id="{00000000-0008-0000-0E00-000001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sch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209550</xdr:rowOff>
        </xdr:from>
        <xdr:to>
          <xdr:col>0</xdr:col>
          <xdr:colOff>723900</xdr:colOff>
          <xdr:row>3</xdr:row>
          <xdr:rowOff>857250</xdr:rowOff>
        </xdr:to>
        <xdr:sp macro="" textlink="">
          <xdr:nvSpPr>
            <xdr:cNvPr id="540674" name="Button 2" hidden="1">
              <a:extLst>
                <a:ext uri="{63B3BB69-23CF-44E3-9099-C40C66FF867C}">
                  <a14:compatExt spid="_x0000_s540674"/>
                </a:ext>
                <a:ext uri="{FF2B5EF4-FFF2-40B4-BE49-F238E27FC236}">
                  <a16:creationId xmlns:a16="http://schemas.microsoft.com/office/drawing/2014/main" id="{00000000-0008-0000-0E00-000002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 Maq.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38100</xdr:rowOff>
        </xdr:from>
        <xdr:to>
          <xdr:col>0</xdr:col>
          <xdr:colOff>723900</xdr:colOff>
          <xdr:row>6</xdr:row>
          <xdr:rowOff>66675</xdr:rowOff>
        </xdr:to>
        <xdr:sp macro="" textlink="">
          <xdr:nvSpPr>
            <xdr:cNvPr id="540675" name="Button 3" hidden="1">
              <a:extLst>
                <a:ext uri="{63B3BB69-23CF-44E3-9099-C40C66FF867C}">
                  <a14:compatExt spid="_x0000_s540675"/>
                </a:ext>
                <a:ext uri="{FF2B5EF4-FFF2-40B4-BE49-F238E27FC236}">
                  <a16:creationId xmlns:a16="http://schemas.microsoft.com/office/drawing/2014/main" id="{00000000-0008-0000-0E00-000003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9</xdr:row>
          <xdr:rowOff>38100</xdr:rowOff>
        </xdr:from>
        <xdr:to>
          <xdr:col>3</xdr:col>
          <xdr:colOff>914400</xdr:colOff>
          <xdr:row>10</xdr:row>
          <xdr:rowOff>76200</xdr:rowOff>
        </xdr:to>
        <xdr:sp macro="" textlink="">
          <xdr:nvSpPr>
            <xdr:cNvPr id="538625" name="Button 1" hidden="1">
              <a:extLst>
                <a:ext uri="{63B3BB69-23CF-44E3-9099-C40C66FF867C}">
                  <a14:compatExt spid="_x0000_s538625"/>
                </a:ext>
                <a:ext uri="{FF2B5EF4-FFF2-40B4-BE49-F238E27FC236}">
                  <a16:creationId xmlns:a16="http://schemas.microsoft.com/office/drawing/2014/main" id="{00000000-0008-0000-0F00-0000013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27069</xdr:colOff>
      <xdr:row>12</xdr:row>
      <xdr:rowOff>9778</xdr:rowOff>
    </xdr:from>
    <xdr:to>
      <xdr:col>11</xdr:col>
      <xdr:colOff>207069</xdr:colOff>
      <xdr:row>12</xdr:row>
      <xdr:rowOff>189778</xdr:rowOff>
    </xdr:to>
    <xdr:sp macro="" textlink="">
      <xdr:nvSpPr>
        <xdr:cNvPr id="2" name="21 Heptágon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51069" y="2186012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</a:t>
          </a:r>
        </a:p>
      </xdr:txBody>
    </xdr:sp>
    <xdr:clientData/>
  </xdr:twoCellAnchor>
  <xdr:twoCellAnchor>
    <xdr:from>
      <xdr:col>11</xdr:col>
      <xdr:colOff>27069</xdr:colOff>
      <xdr:row>12</xdr:row>
      <xdr:rowOff>200526</xdr:rowOff>
    </xdr:from>
    <xdr:to>
      <xdr:col>11</xdr:col>
      <xdr:colOff>207069</xdr:colOff>
      <xdr:row>13</xdr:row>
      <xdr:rowOff>180000</xdr:rowOff>
    </xdr:to>
    <xdr:sp macro="" textlink="">
      <xdr:nvSpPr>
        <xdr:cNvPr id="3" name="21 Heptágon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551069" y="22050876"/>
          <a:ext cx="180000" cy="179499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2</a:t>
          </a:r>
        </a:p>
      </xdr:txBody>
    </xdr:sp>
    <xdr:clientData/>
  </xdr:twoCellAnchor>
  <xdr:twoCellAnchor>
    <xdr:from>
      <xdr:col>11</xdr:col>
      <xdr:colOff>27069</xdr:colOff>
      <xdr:row>13</xdr:row>
      <xdr:rowOff>190500</xdr:rowOff>
    </xdr:from>
    <xdr:to>
      <xdr:col>11</xdr:col>
      <xdr:colOff>207069</xdr:colOff>
      <xdr:row>14</xdr:row>
      <xdr:rowOff>180000</xdr:rowOff>
    </xdr:to>
    <xdr:sp macro="" textlink="">
      <xdr:nvSpPr>
        <xdr:cNvPr id="4" name="21 Heptágon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551069" y="222408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3</a:t>
          </a:r>
        </a:p>
      </xdr:txBody>
    </xdr:sp>
    <xdr:clientData/>
  </xdr:twoCellAnchor>
  <xdr:twoCellAnchor>
    <xdr:from>
      <xdr:col>11</xdr:col>
      <xdr:colOff>27069</xdr:colOff>
      <xdr:row>14</xdr:row>
      <xdr:rowOff>190500</xdr:rowOff>
    </xdr:from>
    <xdr:to>
      <xdr:col>11</xdr:col>
      <xdr:colOff>207069</xdr:colOff>
      <xdr:row>15</xdr:row>
      <xdr:rowOff>180000</xdr:rowOff>
    </xdr:to>
    <xdr:sp macro="" textlink="">
      <xdr:nvSpPr>
        <xdr:cNvPr id="5" name="21 Heptágono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551069" y="224313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4</a:t>
          </a:r>
        </a:p>
      </xdr:txBody>
    </xdr:sp>
    <xdr:clientData/>
  </xdr:twoCellAnchor>
  <xdr:twoCellAnchor>
    <xdr:from>
      <xdr:col>11</xdr:col>
      <xdr:colOff>27069</xdr:colOff>
      <xdr:row>15</xdr:row>
      <xdr:rowOff>190500</xdr:rowOff>
    </xdr:from>
    <xdr:to>
      <xdr:col>11</xdr:col>
      <xdr:colOff>207069</xdr:colOff>
      <xdr:row>16</xdr:row>
      <xdr:rowOff>180000</xdr:rowOff>
    </xdr:to>
    <xdr:sp macro="" textlink="">
      <xdr:nvSpPr>
        <xdr:cNvPr id="6" name="21 Heptágono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551069" y="226218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11</xdr:col>
      <xdr:colOff>27069</xdr:colOff>
      <xdr:row>16</xdr:row>
      <xdr:rowOff>190500</xdr:rowOff>
    </xdr:from>
    <xdr:to>
      <xdr:col>11</xdr:col>
      <xdr:colOff>207069</xdr:colOff>
      <xdr:row>17</xdr:row>
      <xdr:rowOff>180000</xdr:rowOff>
    </xdr:to>
    <xdr:sp macro="" textlink="">
      <xdr:nvSpPr>
        <xdr:cNvPr id="7" name="21 Heptágono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551069" y="228123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9</xdr:row>
          <xdr:rowOff>38100</xdr:rowOff>
        </xdr:from>
        <xdr:to>
          <xdr:col>3</xdr:col>
          <xdr:colOff>914400</xdr:colOff>
          <xdr:row>10</xdr:row>
          <xdr:rowOff>76200</xdr:rowOff>
        </xdr:to>
        <xdr:sp macro="" textlink="">
          <xdr:nvSpPr>
            <xdr:cNvPr id="538627" name="Button 3" hidden="1">
              <a:extLst>
                <a:ext uri="{63B3BB69-23CF-44E3-9099-C40C66FF867C}">
                  <a14:compatExt spid="_x0000_s538627"/>
                </a:ext>
                <a:ext uri="{FF2B5EF4-FFF2-40B4-BE49-F238E27FC236}">
                  <a16:creationId xmlns:a16="http://schemas.microsoft.com/office/drawing/2014/main" id="{00000000-0008-0000-0F00-0000033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14</xdr:row>
          <xdr:rowOff>66675</xdr:rowOff>
        </xdr:from>
        <xdr:to>
          <xdr:col>8</xdr:col>
          <xdr:colOff>800100</xdr:colOff>
          <xdr:row>18</xdr:row>
          <xdr:rowOff>28575</xdr:rowOff>
        </xdr:to>
        <xdr:sp macro="" textlink="">
          <xdr:nvSpPr>
            <xdr:cNvPr id="538628" name="Button 4" hidden="1">
              <a:extLst>
                <a:ext uri="{63B3BB69-23CF-44E3-9099-C40C66FF867C}">
                  <a14:compatExt spid="_x0000_s538628"/>
                </a:ext>
                <a:ext uri="{FF2B5EF4-FFF2-40B4-BE49-F238E27FC236}">
                  <a16:creationId xmlns:a16="http://schemas.microsoft.com/office/drawing/2014/main" id="{00000000-0008-0000-0F00-0000043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Cronograma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733425</xdr:colOff>
          <xdr:row>3</xdr:row>
          <xdr:rowOff>142875</xdr:rowOff>
        </xdr:to>
        <xdr:sp macro="" textlink="">
          <xdr:nvSpPr>
            <xdr:cNvPr id="541697" name="Button 1" hidden="1">
              <a:extLst>
                <a:ext uri="{63B3BB69-23CF-44E3-9099-C40C66FF867C}">
                  <a14:compatExt spid="_x0000_s541697"/>
                </a:ext>
                <a:ext uri="{FF2B5EF4-FFF2-40B4-BE49-F238E27FC236}">
                  <a16:creationId xmlns:a16="http://schemas.microsoft.com/office/drawing/2014/main" id="{00000000-0008-0000-1000-0000014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sch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209550</xdr:rowOff>
        </xdr:from>
        <xdr:to>
          <xdr:col>0</xdr:col>
          <xdr:colOff>723900</xdr:colOff>
          <xdr:row>3</xdr:row>
          <xdr:rowOff>857250</xdr:rowOff>
        </xdr:to>
        <xdr:sp macro="" textlink="">
          <xdr:nvSpPr>
            <xdr:cNvPr id="541698" name="Button 2" hidden="1">
              <a:extLst>
                <a:ext uri="{63B3BB69-23CF-44E3-9099-C40C66FF867C}">
                  <a14:compatExt spid="_x0000_s541698"/>
                </a:ext>
                <a:ext uri="{FF2B5EF4-FFF2-40B4-BE49-F238E27FC236}">
                  <a16:creationId xmlns:a16="http://schemas.microsoft.com/office/drawing/2014/main" id="{00000000-0008-0000-1000-0000024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 Maq.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38100</xdr:rowOff>
        </xdr:from>
        <xdr:to>
          <xdr:col>0</xdr:col>
          <xdr:colOff>723900</xdr:colOff>
          <xdr:row>6</xdr:row>
          <xdr:rowOff>66675</xdr:rowOff>
        </xdr:to>
        <xdr:sp macro="" textlink="">
          <xdr:nvSpPr>
            <xdr:cNvPr id="541699" name="Button 3" hidden="1">
              <a:extLst>
                <a:ext uri="{63B3BB69-23CF-44E3-9099-C40C66FF867C}">
                  <a14:compatExt spid="_x0000_s541699"/>
                </a:ext>
                <a:ext uri="{FF2B5EF4-FFF2-40B4-BE49-F238E27FC236}">
                  <a16:creationId xmlns:a16="http://schemas.microsoft.com/office/drawing/2014/main" id="{00000000-0008-0000-1000-0000034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9</xdr:row>
          <xdr:rowOff>38100</xdr:rowOff>
        </xdr:from>
        <xdr:to>
          <xdr:col>3</xdr:col>
          <xdr:colOff>914400</xdr:colOff>
          <xdr:row>10</xdr:row>
          <xdr:rowOff>76200</xdr:rowOff>
        </xdr:to>
        <xdr:sp macro="" textlink="">
          <xdr:nvSpPr>
            <xdr:cNvPr id="539649" name="Button 1" hidden="1">
              <a:extLst>
                <a:ext uri="{63B3BB69-23CF-44E3-9099-C40C66FF867C}">
                  <a14:compatExt spid="_x0000_s539649"/>
                </a:ext>
                <a:ext uri="{FF2B5EF4-FFF2-40B4-BE49-F238E27FC236}">
                  <a16:creationId xmlns:a16="http://schemas.microsoft.com/office/drawing/2014/main" id="{00000000-0008-0000-1100-0000013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27069</xdr:colOff>
      <xdr:row>12</xdr:row>
      <xdr:rowOff>9778</xdr:rowOff>
    </xdr:from>
    <xdr:to>
      <xdr:col>11</xdr:col>
      <xdr:colOff>207069</xdr:colOff>
      <xdr:row>12</xdr:row>
      <xdr:rowOff>189778</xdr:rowOff>
    </xdr:to>
    <xdr:sp macro="" textlink="">
      <xdr:nvSpPr>
        <xdr:cNvPr id="2" name="21 Heptágon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51069" y="21860128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</a:t>
          </a:r>
        </a:p>
      </xdr:txBody>
    </xdr:sp>
    <xdr:clientData/>
  </xdr:twoCellAnchor>
  <xdr:twoCellAnchor>
    <xdr:from>
      <xdr:col>11</xdr:col>
      <xdr:colOff>27069</xdr:colOff>
      <xdr:row>12</xdr:row>
      <xdr:rowOff>200526</xdr:rowOff>
    </xdr:from>
    <xdr:to>
      <xdr:col>11</xdr:col>
      <xdr:colOff>207069</xdr:colOff>
      <xdr:row>13</xdr:row>
      <xdr:rowOff>180000</xdr:rowOff>
    </xdr:to>
    <xdr:sp macro="" textlink="">
      <xdr:nvSpPr>
        <xdr:cNvPr id="3" name="21 Heptágon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551069" y="22050876"/>
          <a:ext cx="180000" cy="179499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2</a:t>
          </a:r>
        </a:p>
      </xdr:txBody>
    </xdr:sp>
    <xdr:clientData/>
  </xdr:twoCellAnchor>
  <xdr:twoCellAnchor>
    <xdr:from>
      <xdr:col>11</xdr:col>
      <xdr:colOff>27069</xdr:colOff>
      <xdr:row>13</xdr:row>
      <xdr:rowOff>190500</xdr:rowOff>
    </xdr:from>
    <xdr:to>
      <xdr:col>11</xdr:col>
      <xdr:colOff>207069</xdr:colOff>
      <xdr:row>14</xdr:row>
      <xdr:rowOff>180000</xdr:rowOff>
    </xdr:to>
    <xdr:sp macro="" textlink="">
      <xdr:nvSpPr>
        <xdr:cNvPr id="4" name="21 Heptágon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551069" y="222408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3</a:t>
          </a:r>
        </a:p>
      </xdr:txBody>
    </xdr:sp>
    <xdr:clientData/>
  </xdr:twoCellAnchor>
  <xdr:twoCellAnchor>
    <xdr:from>
      <xdr:col>11</xdr:col>
      <xdr:colOff>27069</xdr:colOff>
      <xdr:row>14</xdr:row>
      <xdr:rowOff>190500</xdr:rowOff>
    </xdr:from>
    <xdr:to>
      <xdr:col>11</xdr:col>
      <xdr:colOff>207069</xdr:colOff>
      <xdr:row>15</xdr:row>
      <xdr:rowOff>180000</xdr:rowOff>
    </xdr:to>
    <xdr:sp macro="" textlink="">
      <xdr:nvSpPr>
        <xdr:cNvPr id="5" name="21 Heptágon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551069" y="224313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4</a:t>
          </a:r>
        </a:p>
      </xdr:txBody>
    </xdr:sp>
    <xdr:clientData/>
  </xdr:twoCellAnchor>
  <xdr:twoCellAnchor>
    <xdr:from>
      <xdr:col>11</xdr:col>
      <xdr:colOff>27069</xdr:colOff>
      <xdr:row>15</xdr:row>
      <xdr:rowOff>190500</xdr:rowOff>
    </xdr:from>
    <xdr:to>
      <xdr:col>11</xdr:col>
      <xdr:colOff>207069</xdr:colOff>
      <xdr:row>16</xdr:row>
      <xdr:rowOff>180000</xdr:rowOff>
    </xdr:to>
    <xdr:sp macro="" textlink="">
      <xdr:nvSpPr>
        <xdr:cNvPr id="6" name="21 Heptágono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551069" y="226218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5</a:t>
          </a:r>
        </a:p>
      </xdr:txBody>
    </xdr:sp>
    <xdr:clientData/>
  </xdr:twoCellAnchor>
  <xdr:twoCellAnchor>
    <xdr:from>
      <xdr:col>11</xdr:col>
      <xdr:colOff>27069</xdr:colOff>
      <xdr:row>16</xdr:row>
      <xdr:rowOff>190500</xdr:rowOff>
    </xdr:from>
    <xdr:to>
      <xdr:col>11</xdr:col>
      <xdr:colOff>207069</xdr:colOff>
      <xdr:row>17</xdr:row>
      <xdr:rowOff>180000</xdr:rowOff>
    </xdr:to>
    <xdr:sp macro="" textlink="">
      <xdr:nvSpPr>
        <xdr:cNvPr id="7" name="21 Heptágono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551069" y="22812375"/>
          <a:ext cx="180000" cy="180000"/>
        </a:xfrm>
        <a:prstGeom prst="heptagon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9</xdr:row>
          <xdr:rowOff>38100</xdr:rowOff>
        </xdr:from>
        <xdr:to>
          <xdr:col>3</xdr:col>
          <xdr:colOff>914400</xdr:colOff>
          <xdr:row>10</xdr:row>
          <xdr:rowOff>76200</xdr:rowOff>
        </xdr:to>
        <xdr:sp macro="" textlink="">
          <xdr:nvSpPr>
            <xdr:cNvPr id="539651" name="Button 3" hidden="1">
              <a:extLst>
                <a:ext uri="{63B3BB69-23CF-44E3-9099-C40C66FF867C}">
                  <a14:compatExt spid="_x0000_s539651"/>
                </a:ext>
                <a:ext uri="{FF2B5EF4-FFF2-40B4-BE49-F238E27FC236}">
                  <a16:creationId xmlns:a16="http://schemas.microsoft.com/office/drawing/2014/main" id="{00000000-0008-0000-1100-0000033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14</xdr:row>
          <xdr:rowOff>66675</xdr:rowOff>
        </xdr:from>
        <xdr:to>
          <xdr:col>8</xdr:col>
          <xdr:colOff>800100</xdr:colOff>
          <xdr:row>18</xdr:row>
          <xdr:rowOff>28575</xdr:rowOff>
        </xdr:to>
        <xdr:sp macro="" textlink="">
          <xdr:nvSpPr>
            <xdr:cNvPr id="539652" name="Button 4" hidden="1">
              <a:extLst>
                <a:ext uri="{63B3BB69-23CF-44E3-9099-C40C66FF867C}">
                  <a14:compatExt spid="_x0000_s539652"/>
                </a:ext>
                <a:ext uri="{FF2B5EF4-FFF2-40B4-BE49-F238E27FC236}">
                  <a16:creationId xmlns:a16="http://schemas.microsoft.com/office/drawing/2014/main" id="{00000000-0008-0000-1100-0000043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Cronograma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733425</xdr:colOff>
          <xdr:row>3</xdr:row>
          <xdr:rowOff>142875</xdr:rowOff>
        </xdr:to>
        <xdr:sp macro="" textlink="">
          <xdr:nvSpPr>
            <xdr:cNvPr id="542721" name="Button 1" hidden="1">
              <a:extLst>
                <a:ext uri="{63B3BB69-23CF-44E3-9099-C40C66FF867C}">
                  <a14:compatExt spid="_x0000_s542721"/>
                </a:ext>
                <a:ext uri="{FF2B5EF4-FFF2-40B4-BE49-F238E27FC236}">
                  <a16:creationId xmlns:a16="http://schemas.microsoft.com/office/drawing/2014/main" id="{00000000-0008-0000-1200-0000014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sch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209550</xdr:rowOff>
        </xdr:from>
        <xdr:to>
          <xdr:col>0</xdr:col>
          <xdr:colOff>723900</xdr:colOff>
          <xdr:row>3</xdr:row>
          <xdr:rowOff>857250</xdr:rowOff>
        </xdr:to>
        <xdr:sp macro="" textlink="">
          <xdr:nvSpPr>
            <xdr:cNvPr id="542722" name="Button 2" hidden="1">
              <a:extLst>
                <a:ext uri="{63B3BB69-23CF-44E3-9099-C40C66FF867C}">
                  <a14:compatExt spid="_x0000_s542722"/>
                </a:ext>
                <a:ext uri="{FF2B5EF4-FFF2-40B4-BE49-F238E27FC236}">
                  <a16:creationId xmlns:a16="http://schemas.microsoft.com/office/drawing/2014/main" id="{00000000-0008-0000-1200-0000024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 Maq.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38100</xdr:rowOff>
        </xdr:from>
        <xdr:to>
          <xdr:col>0</xdr:col>
          <xdr:colOff>723900</xdr:colOff>
          <xdr:row>6</xdr:row>
          <xdr:rowOff>66675</xdr:rowOff>
        </xdr:to>
        <xdr:sp macro="" textlink="">
          <xdr:nvSpPr>
            <xdr:cNvPr id="542723" name="Button 3" hidden="1">
              <a:extLst>
                <a:ext uri="{63B3BB69-23CF-44E3-9099-C40C66FF867C}">
                  <a14:compatExt spid="_x0000_s542723"/>
                </a:ext>
                <a:ext uri="{FF2B5EF4-FFF2-40B4-BE49-F238E27FC236}">
                  <a16:creationId xmlns:a16="http://schemas.microsoft.com/office/drawing/2014/main" id="{00000000-0008-0000-1200-0000034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onardo%20Cornejo\Downloads\Formato%20Para%20Campa&#241;as%20Geotecnicas%20-MOD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alculo Dias"/>
      <sheetName val="Cronograma"/>
      <sheetName val="Prueba"/>
      <sheetName val="Calculo de Horas"/>
      <sheetName val="Datos de entrada"/>
      <sheetName val="Rates"/>
      <sheetName val="Datos de entrada MOD"/>
      <sheetName val="Calculo Dias MOD"/>
      <sheetName val="Table Headings"/>
      <sheetName val="Formato Cronograma"/>
      <sheetName val="Inicio MOD"/>
      <sheetName val="Días - Perforaciones"/>
      <sheetName val="Días - CPT"/>
      <sheetName val="Cronograma - CPT"/>
    </sheetNames>
    <sheetDataSet>
      <sheetData sheetId="0">
        <row r="13">
          <cell r="B13">
            <v>0</v>
          </cell>
          <cell r="E13">
            <v>0</v>
          </cell>
        </row>
        <row r="14">
          <cell r="E14">
            <v>0</v>
          </cell>
        </row>
        <row r="15">
          <cell r="B15">
            <v>0</v>
          </cell>
          <cell r="E15">
            <v>0</v>
          </cell>
        </row>
        <row r="26">
          <cell r="B26">
            <v>10</v>
          </cell>
        </row>
        <row r="27">
          <cell r="B27">
            <v>10</v>
          </cell>
        </row>
        <row r="28">
          <cell r="B28">
            <v>10</v>
          </cell>
        </row>
        <row r="29">
          <cell r="B29">
            <v>10</v>
          </cell>
        </row>
        <row r="30">
          <cell r="B30">
            <v>0</v>
          </cell>
        </row>
        <row r="31">
          <cell r="B31">
            <v>0</v>
          </cell>
        </row>
        <row r="33">
          <cell r="B33">
            <v>0</v>
          </cell>
        </row>
        <row r="34">
          <cell r="B34">
            <v>0</v>
          </cell>
        </row>
        <row r="36">
          <cell r="B36">
            <v>0</v>
          </cell>
        </row>
        <row r="38">
          <cell r="B38">
            <v>0</v>
          </cell>
        </row>
      </sheetData>
      <sheetData sheetId="1"/>
      <sheetData sheetId="2"/>
      <sheetData sheetId="3"/>
      <sheetData sheetId="4"/>
      <sheetData sheetId="5">
        <row r="19">
          <cell r="B19" t="str">
            <v>Menor a 100 m</v>
          </cell>
          <cell r="C19">
            <v>0</v>
          </cell>
        </row>
        <row r="20">
          <cell r="B20" t="str">
            <v>entre 100 a 200 m</v>
          </cell>
          <cell r="C20">
            <v>0.25</v>
          </cell>
        </row>
        <row r="21">
          <cell r="B21" t="str">
            <v>entre 200 m a 300 m</v>
          </cell>
          <cell r="C21">
            <v>0.5</v>
          </cell>
        </row>
        <row r="22">
          <cell r="B22" t="str">
            <v>más de 300 m</v>
          </cell>
          <cell r="C22">
            <v>0.75</v>
          </cell>
        </row>
      </sheetData>
      <sheetData sheetId="6"/>
      <sheetData sheetId="7"/>
      <sheetData sheetId="8"/>
      <sheetData sheetId="9"/>
      <sheetData sheetId="10"/>
      <sheetData sheetId="11">
        <row r="20">
          <cell r="AL20">
            <v>0</v>
          </cell>
          <cell r="AY20" t="str">
            <v>Turno</v>
          </cell>
        </row>
        <row r="21">
          <cell r="C21" t="str">
            <v xml:space="preserve">Doble turno </v>
          </cell>
          <cell r="AL21">
            <v>0</v>
          </cell>
          <cell r="AY21">
            <v>0</v>
          </cell>
        </row>
      </sheetData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8" Type="http://schemas.openxmlformats.org/officeDocument/2006/relationships/control" Target="../activeX/activeX3.xml"/><Relationship Id="rId18" Type="http://schemas.openxmlformats.org/officeDocument/2006/relationships/ctrlProp" Target="../ctrlProps/ctrlProp8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5.xml"/><Relationship Id="rId7" Type="http://schemas.openxmlformats.org/officeDocument/2006/relationships/image" Target="../media/image2.emf"/><Relationship Id="rId1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5.bin"/><Relationship Id="rId11" Type="http://schemas.openxmlformats.org/officeDocument/2006/relationships/image" Target="../media/image4.emf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9.xml"/><Relationship Id="rId14" Type="http://schemas.openxmlformats.org/officeDocument/2006/relationships/control" Target="../activeX/activeX6.xml"/><Relationship Id="rId9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Relationship Id="rId6" Type="http://schemas.openxmlformats.org/officeDocument/2006/relationships/comments" Target="../comments7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3.xml"/><Relationship Id="rId6" Type="http://schemas.openxmlformats.org/officeDocument/2006/relationships/comments" Target="../comments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rgb="FF00B050"/>
  </sheetPr>
  <dimension ref="A1:JW175"/>
  <sheetViews>
    <sheetView showGridLines="0" zoomScale="90" zoomScaleNormal="90" workbookViewId="0">
      <selection activeCell="I44" sqref="I44"/>
    </sheetView>
  </sheetViews>
  <sheetFormatPr defaultColWidth="11.42578125" defaultRowHeight="15"/>
  <cols>
    <col min="1" max="1" width="41.140625" customWidth="1"/>
    <col min="4" max="4" width="15.5703125" customWidth="1"/>
    <col min="5" max="5" width="12.85546875" customWidth="1"/>
    <col min="6" max="6" width="12.28515625" customWidth="1"/>
    <col min="7" max="139" width="5.7109375" customWidth="1"/>
  </cols>
  <sheetData>
    <row r="1" spans="1:25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</row>
    <row r="2" spans="1:255">
      <c r="A2" s="276" t="s">
        <v>0</v>
      </c>
      <c r="B2" s="276"/>
      <c r="C2" s="6"/>
      <c r="D2" s="6"/>
      <c r="E2" s="63" t="s">
        <v>1</v>
      </c>
      <c r="F2" t="s">
        <v>2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</row>
    <row r="3" spans="1:255">
      <c r="A3" s="277" t="s">
        <v>3</v>
      </c>
      <c r="B3" s="277"/>
      <c r="C3" s="6"/>
      <c r="D3" s="6"/>
      <c r="E3" s="63" t="s">
        <v>4</v>
      </c>
      <c r="F3" t="s">
        <v>5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>
        <v>1</v>
      </c>
      <c r="V3" s="6">
        <v>2</v>
      </c>
      <c r="W3" s="6">
        <v>2</v>
      </c>
      <c r="X3" s="6">
        <v>4</v>
      </c>
      <c r="Y3" s="6">
        <v>5</v>
      </c>
      <c r="Z3" s="6">
        <v>2</v>
      </c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</row>
    <row r="4" spans="1:255">
      <c r="A4" s="37" t="s">
        <v>6</v>
      </c>
      <c r="B4" s="50" t="s">
        <v>7</v>
      </c>
      <c r="C4" s="6"/>
      <c r="D4" s="6"/>
      <c r="E4" s="63" t="s">
        <v>8</v>
      </c>
      <c r="F4" t="s">
        <v>9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>
        <v>1</v>
      </c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</row>
    <row r="5" spans="1:255">
      <c r="A5" s="47" t="s">
        <v>10</v>
      </c>
      <c r="B5" s="51" t="e">
        <f>+IF(#REF!&lt;&gt;"",#REF!,"")</f>
        <v>#REF!</v>
      </c>
      <c r="C5" s="6"/>
      <c r="D5" s="6"/>
      <c r="E5" s="63" t="s">
        <v>11</v>
      </c>
      <c r="F5" t="s">
        <v>12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</row>
    <row r="6" spans="1:255">
      <c r="A6" s="47" t="s">
        <v>13</v>
      </c>
      <c r="B6" s="52">
        <v>7</v>
      </c>
      <c r="C6" s="6">
        <f>+B6+3</f>
        <v>10</v>
      </c>
      <c r="D6" s="6"/>
      <c r="E6" s="63" t="s">
        <v>14</v>
      </c>
      <c r="F6" t="s">
        <v>15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</row>
    <row r="7" spans="1:255">
      <c r="A7" s="47" t="s">
        <v>16</v>
      </c>
      <c r="B7" s="52" t="e">
        <f>+#REF!</f>
        <v>#REF!</v>
      </c>
      <c r="C7" s="6"/>
      <c r="D7" s="6"/>
      <c r="E7" s="63" t="s">
        <v>17</v>
      </c>
      <c r="F7" s="6" t="s">
        <v>18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</row>
    <row r="8" spans="1:255">
      <c r="A8" s="47" t="s">
        <v>19</v>
      </c>
      <c r="B8" s="52" t="e">
        <f>+VLOOKUP(#REF!,#REF!,3,FALSE)</f>
        <v>#REF!</v>
      </c>
      <c r="C8" s="56" t="e">
        <f>+B13+B6</f>
        <v>#REF!</v>
      </c>
      <c r="D8" s="6"/>
      <c r="E8" s="63" t="s">
        <v>20</v>
      </c>
      <c r="F8" s="6" t="s">
        <v>21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</row>
    <row r="9" spans="1:255">
      <c r="A9" s="48" t="s">
        <v>22</v>
      </c>
      <c r="B9" s="12" t="e">
        <f>+VLOOKUP(#REF!,#REF!,4,FALSE)</f>
        <v>#REF!</v>
      </c>
      <c r="C9" s="6"/>
      <c r="D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</row>
    <row r="10" spans="1:255">
      <c r="A10" s="6"/>
      <c r="B10" s="6"/>
      <c r="C10" s="6"/>
      <c r="D10" s="6"/>
      <c r="G10" s="6"/>
      <c r="H10" s="6"/>
      <c r="I10" s="6"/>
      <c r="J10" s="6"/>
      <c r="K10" s="6"/>
      <c r="L10" s="6">
        <f>6+3+6+3</f>
        <v>18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255">
      <c r="A11" s="45" t="s">
        <v>23</v>
      </c>
      <c r="B11" s="4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255" ht="74.25">
      <c r="A12" s="57" t="s">
        <v>24</v>
      </c>
      <c r="B12" s="58" t="e">
        <f>+COUNTIF(#REF!,1)</f>
        <v>#REF!</v>
      </c>
      <c r="C12" s="6"/>
      <c r="D12" s="6"/>
      <c r="E12" s="6"/>
      <c r="F12" s="59" t="s">
        <v>25</v>
      </c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</row>
    <row r="13" spans="1:255">
      <c r="A13" s="45" t="s">
        <v>10</v>
      </c>
      <c r="B13" s="62" t="e">
        <f>+IF(#REF!&lt;&gt;"",#REF!,"")</f>
        <v>#REF!</v>
      </c>
      <c r="C13" s="6"/>
      <c r="D13" s="6">
        <f>4+3+4</f>
        <v>11</v>
      </c>
      <c r="E13" s="56">
        <f>+F16+D16</f>
        <v>44731</v>
      </c>
      <c r="F13" s="60"/>
      <c r="G13" s="55" t="e">
        <f>IF(G15&lt;&gt;"",TEXT(G15,"ddd"),"")</f>
        <v>#REF!</v>
      </c>
      <c r="H13" s="55" t="e">
        <f t="shared" ref="H13:BS13" si="0">IF(H15&lt;&gt;"",TEXT(H15,"ddd"),"")</f>
        <v>#REF!</v>
      </c>
      <c r="I13" s="55" t="e">
        <f t="shared" si="0"/>
        <v>#REF!</v>
      </c>
      <c r="J13" s="55" t="e">
        <f t="shared" si="0"/>
        <v>#REF!</v>
      </c>
      <c r="K13" s="55" t="e">
        <f t="shared" si="0"/>
        <v>#REF!</v>
      </c>
      <c r="L13" s="55" t="e">
        <f t="shared" si="0"/>
        <v>#REF!</v>
      </c>
      <c r="M13" s="55" t="e">
        <f t="shared" si="0"/>
        <v>#REF!</v>
      </c>
      <c r="N13" s="55" t="e">
        <f t="shared" si="0"/>
        <v>#REF!</v>
      </c>
      <c r="O13" s="55" t="e">
        <f t="shared" si="0"/>
        <v>#REF!</v>
      </c>
      <c r="P13" s="55" t="e">
        <f t="shared" si="0"/>
        <v>#REF!</v>
      </c>
      <c r="Q13" s="55" t="e">
        <f t="shared" si="0"/>
        <v>#REF!</v>
      </c>
      <c r="R13" s="55" t="e">
        <f t="shared" si="0"/>
        <v>#REF!</v>
      </c>
      <c r="S13" s="55" t="e">
        <f t="shared" si="0"/>
        <v>#REF!</v>
      </c>
      <c r="T13" s="55" t="e">
        <f t="shared" si="0"/>
        <v>#REF!</v>
      </c>
      <c r="U13" s="55" t="e">
        <f t="shared" si="0"/>
        <v>#REF!</v>
      </c>
      <c r="V13" s="55" t="e">
        <f t="shared" si="0"/>
        <v>#REF!</v>
      </c>
      <c r="W13" s="55" t="str">
        <f t="shared" si="0"/>
        <v/>
      </c>
      <c r="X13" s="55" t="str">
        <f t="shared" si="0"/>
        <v/>
      </c>
      <c r="Y13" s="55" t="str">
        <f t="shared" si="0"/>
        <v/>
      </c>
      <c r="Z13" s="55" t="str">
        <f t="shared" si="0"/>
        <v/>
      </c>
      <c r="AA13" s="55" t="str">
        <f t="shared" si="0"/>
        <v/>
      </c>
      <c r="AB13" s="55" t="str">
        <f t="shared" si="0"/>
        <v/>
      </c>
      <c r="AC13" s="55" t="str">
        <f t="shared" si="0"/>
        <v/>
      </c>
      <c r="AD13" s="55" t="str">
        <f t="shared" si="0"/>
        <v/>
      </c>
      <c r="AE13" s="55" t="str">
        <f t="shared" si="0"/>
        <v/>
      </c>
      <c r="AF13" s="55" t="str">
        <f t="shared" si="0"/>
        <v/>
      </c>
      <c r="AG13" s="55" t="str">
        <f t="shared" si="0"/>
        <v/>
      </c>
      <c r="AH13" s="55" t="str">
        <f t="shared" si="0"/>
        <v/>
      </c>
      <c r="AI13" s="55" t="str">
        <f t="shared" si="0"/>
        <v/>
      </c>
      <c r="AJ13" s="55" t="str">
        <f t="shared" si="0"/>
        <v/>
      </c>
      <c r="AK13" s="55" t="str">
        <f t="shared" si="0"/>
        <v/>
      </c>
      <c r="AL13" s="55" t="str">
        <f t="shared" si="0"/>
        <v/>
      </c>
      <c r="AM13" s="55" t="str">
        <f t="shared" si="0"/>
        <v/>
      </c>
      <c r="AN13" s="55" t="str">
        <f t="shared" si="0"/>
        <v/>
      </c>
      <c r="AO13" s="55" t="str">
        <f t="shared" si="0"/>
        <v/>
      </c>
      <c r="AP13" s="55" t="str">
        <f t="shared" si="0"/>
        <v/>
      </c>
      <c r="AQ13" s="55" t="str">
        <f t="shared" si="0"/>
        <v/>
      </c>
      <c r="AR13" s="55" t="str">
        <f t="shared" si="0"/>
        <v/>
      </c>
      <c r="AS13" s="55" t="str">
        <f t="shared" si="0"/>
        <v/>
      </c>
      <c r="AT13" s="55" t="str">
        <f t="shared" si="0"/>
        <v/>
      </c>
      <c r="AU13" s="55" t="str">
        <f t="shared" si="0"/>
        <v/>
      </c>
      <c r="AV13" s="55" t="str">
        <f t="shared" si="0"/>
        <v/>
      </c>
      <c r="AW13" s="55" t="str">
        <f t="shared" si="0"/>
        <v/>
      </c>
      <c r="AX13" s="55" t="str">
        <f t="shared" si="0"/>
        <v/>
      </c>
      <c r="AY13" s="55" t="str">
        <f t="shared" si="0"/>
        <v/>
      </c>
      <c r="AZ13" s="55" t="str">
        <f t="shared" si="0"/>
        <v/>
      </c>
      <c r="BA13" s="55" t="str">
        <f t="shared" si="0"/>
        <v/>
      </c>
      <c r="BB13" s="55" t="str">
        <f t="shared" si="0"/>
        <v/>
      </c>
      <c r="BC13" s="55" t="str">
        <f t="shared" si="0"/>
        <v/>
      </c>
      <c r="BD13" s="55" t="str">
        <f t="shared" si="0"/>
        <v/>
      </c>
      <c r="BE13" s="55" t="str">
        <f t="shared" si="0"/>
        <v/>
      </c>
      <c r="BF13" s="55" t="str">
        <f t="shared" si="0"/>
        <v/>
      </c>
      <c r="BG13" s="55" t="str">
        <f t="shared" si="0"/>
        <v/>
      </c>
      <c r="BH13" s="55" t="str">
        <f t="shared" si="0"/>
        <v/>
      </c>
      <c r="BI13" s="55" t="str">
        <f t="shared" si="0"/>
        <v/>
      </c>
      <c r="BJ13" s="55" t="str">
        <f t="shared" si="0"/>
        <v/>
      </c>
      <c r="BK13" s="55" t="str">
        <f t="shared" si="0"/>
        <v/>
      </c>
      <c r="BL13" s="55" t="str">
        <f t="shared" si="0"/>
        <v/>
      </c>
      <c r="BM13" s="55" t="str">
        <f t="shared" si="0"/>
        <v/>
      </c>
      <c r="BN13" s="55" t="str">
        <f t="shared" si="0"/>
        <v/>
      </c>
      <c r="BO13" s="55" t="str">
        <f t="shared" si="0"/>
        <v/>
      </c>
      <c r="BP13" s="55" t="str">
        <f t="shared" si="0"/>
        <v/>
      </c>
      <c r="BQ13" s="55" t="str">
        <f t="shared" si="0"/>
        <v/>
      </c>
      <c r="BR13" s="55" t="str">
        <f t="shared" si="0"/>
        <v/>
      </c>
      <c r="BS13" s="55" t="str">
        <f t="shared" si="0"/>
        <v/>
      </c>
      <c r="BT13" s="55" t="str">
        <f t="shared" ref="BT13:DO13" si="1">IF(BT15&lt;&gt;"",TEXT(BT15,"ddd"),"")</f>
        <v/>
      </c>
      <c r="BU13" s="55" t="str">
        <f t="shared" si="1"/>
        <v/>
      </c>
      <c r="BV13" s="55" t="str">
        <f t="shared" si="1"/>
        <v/>
      </c>
      <c r="BW13" s="55" t="str">
        <f t="shared" si="1"/>
        <v/>
      </c>
      <c r="BX13" s="55" t="str">
        <f t="shared" si="1"/>
        <v/>
      </c>
      <c r="BY13" s="55" t="str">
        <f t="shared" si="1"/>
        <v/>
      </c>
      <c r="BZ13" s="55" t="str">
        <f t="shared" si="1"/>
        <v/>
      </c>
      <c r="CA13" s="55" t="str">
        <f t="shared" si="1"/>
        <v/>
      </c>
      <c r="CB13" s="55" t="str">
        <f t="shared" si="1"/>
        <v/>
      </c>
      <c r="CC13" s="55" t="str">
        <f t="shared" si="1"/>
        <v/>
      </c>
      <c r="CD13" s="55" t="str">
        <f t="shared" si="1"/>
        <v/>
      </c>
      <c r="CE13" s="55" t="str">
        <f t="shared" si="1"/>
        <v/>
      </c>
      <c r="CF13" s="55" t="str">
        <f t="shared" si="1"/>
        <v/>
      </c>
      <c r="CG13" s="55" t="str">
        <f t="shared" si="1"/>
        <v/>
      </c>
      <c r="CH13" s="55" t="str">
        <f t="shared" si="1"/>
        <v/>
      </c>
      <c r="CI13" s="55" t="str">
        <f t="shared" si="1"/>
        <v/>
      </c>
      <c r="CJ13" s="55" t="str">
        <f t="shared" si="1"/>
        <v/>
      </c>
      <c r="CK13" s="55" t="str">
        <f t="shared" si="1"/>
        <v/>
      </c>
      <c r="CL13" s="55" t="str">
        <f t="shared" si="1"/>
        <v/>
      </c>
      <c r="CM13" s="55" t="str">
        <f t="shared" si="1"/>
        <v/>
      </c>
      <c r="CN13" s="55" t="str">
        <f t="shared" si="1"/>
        <v/>
      </c>
      <c r="CO13" s="55" t="str">
        <f t="shared" si="1"/>
        <v/>
      </c>
      <c r="CP13" s="55" t="str">
        <f t="shared" si="1"/>
        <v/>
      </c>
      <c r="CQ13" s="55" t="str">
        <f t="shared" si="1"/>
        <v/>
      </c>
      <c r="CR13" s="55" t="str">
        <f t="shared" si="1"/>
        <v/>
      </c>
      <c r="CS13" s="55" t="str">
        <f t="shared" si="1"/>
        <v/>
      </c>
      <c r="CT13" s="55" t="str">
        <f t="shared" si="1"/>
        <v/>
      </c>
      <c r="CU13" s="55" t="str">
        <f t="shared" si="1"/>
        <v/>
      </c>
      <c r="CV13" s="55" t="str">
        <f t="shared" si="1"/>
        <v/>
      </c>
      <c r="CW13" s="55" t="str">
        <f t="shared" si="1"/>
        <v/>
      </c>
      <c r="CX13" s="55" t="str">
        <f t="shared" si="1"/>
        <v/>
      </c>
      <c r="CY13" s="55" t="str">
        <f t="shared" si="1"/>
        <v/>
      </c>
      <c r="CZ13" s="55" t="str">
        <f t="shared" si="1"/>
        <v/>
      </c>
      <c r="DA13" s="55" t="str">
        <f t="shared" si="1"/>
        <v/>
      </c>
      <c r="DB13" s="55" t="str">
        <f t="shared" si="1"/>
        <v/>
      </c>
      <c r="DC13" s="55" t="str">
        <f t="shared" si="1"/>
        <v/>
      </c>
      <c r="DD13" s="55" t="str">
        <f t="shared" si="1"/>
        <v/>
      </c>
      <c r="DE13" s="55" t="str">
        <f t="shared" si="1"/>
        <v/>
      </c>
      <c r="DF13" s="55" t="str">
        <f t="shared" si="1"/>
        <v/>
      </c>
      <c r="DG13" s="55" t="str">
        <f t="shared" si="1"/>
        <v/>
      </c>
      <c r="DH13" s="55" t="str">
        <f t="shared" si="1"/>
        <v/>
      </c>
      <c r="DI13" s="55" t="str">
        <f t="shared" si="1"/>
        <v/>
      </c>
      <c r="DJ13" s="55" t="str">
        <f t="shared" si="1"/>
        <v/>
      </c>
      <c r="DK13" s="55" t="str">
        <f t="shared" si="1"/>
        <v/>
      </c>
      <c r="DL13" s="55" t="str">
        <f t="shared" si="1"/>
        <v/>
      </c>
      <c r="DM13" s="55" t="str">
        <f t="shared" si="1"/>
        <v/>
      </c>
      <c r="DN13" s="55" t="str">
        <f t="shared" si="1"/>
        <v/>
      </c>
      <c r="DO13" s="55" t="str">
        <f t="shared" si="1"/>
        <v/>
      </c>
    </row>
    <row r="14" spans="1:255">
      <c r="A14" s="6"/>
      <c r="B14" s="6"/>
      <c r="C14" s="6"/>
      <c r="D14" s="6"/>
      <c r="E14" s="6"/>
      <c r="F14" s="6"/>
      <c r="G14" s="54">
        <v>-5</v>
      </c>
      <c r="H14" s="54">
        <v>-4</v>
      </c>
      <c r="I14" s="54">
        <v>-3</v>
      </c>
      <c r="J14" s="54">
        <v>-2</v>
      </c>
      <c r="K14" s="54">
        <v>-1</v>
      </c>
      <c r="L14" s="54">
        <v>0</v>
      </c>
      <c r="M14" s="54">
        <v>1</v>
      </c>
      <c r="N14" s="54">
        <v>2</v>
      </c>
      <c r="O14" s="54">
        <v>3</v>
      </c>
      <c r="P14" s="54">
        <v>4</v>
      </c>
      <c r="Q14" s="54">
        <v>5</v>
      </c>
      <c r="R14" s="54">
        <v>6</v>
      </c>
      <c r="S14" s="54">
        <v>7</v>
      </c>
      <c r="T14" s="54">
        <v>8</v>
      </c>
      <c r="U14" s="54">
        <v>9</v>
      </c>
      <c r="V14" s="54">
        <v>10</v>
      </c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6"/>
      <c r="BQ14" s="6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6"/>
      <c r="DZ14" s="6"/>
      <c r="EF14" s="54"/>
      <c r="EG14" s="54"/>
      <c r="EH14" s="54"/>
      <c r="EI14" s="54"/>
      <c r="EJ14" s="54"/>
      <c r="EK14" s="54"/>
      <c r="EL14" s="54"/>
      <c r="EM14" s="54"/>
      <c r="EN14" s="54"/>
      <c r="EO14" s="54"/>
      <c r="EP14" s="54"/>
      <c r="EQ14" s="54"/>
      <c r="ER14" s="54"/>
      <c r="ES14" s="54"/>
      <c r="ET14" s="54"/>
      <c r="EU14" s="54"/>
      <c r="EV14" s="54"/>
      <c r="EW14" s="54"/>
      <c r="EX14" s="54"/>
      <c r="EY14" s="54"/>
      <c r="EZ14" s="54"/>
      <c r="FA14" s="54"/>
    </row>
    <row r="15" spans="1:255" s="38" customFormat="1" ht="67.5" customHeight="1">
      <c r="A15" s="78" t="s">
        <v>26</v>
      </c>
      <c r="B15" s="78" t="s">
        <v>27</v>
      </c>
      <c r="C15" s="78" t="s">
        <v>28</v>
      </c>
      <c r="D15" s="78" t="s">
        <v>29</v>
      </c>
      <c r="E15" s="78" t="s">
        <v>30</v>
      </c>
      <c r="F15" s="79" t="s">
        <v>31</v>
      </c>
      <c r="G15" s="39" t="e">
        <f>+H15-1</f>
        <v>#REF!</v>
      </c>
      <c r="H15" s="39" t="e">
        <f>+I15-1</f>
        <v>#REF!</v>
      </c>
      <c r="I15" s="39" t="e">
        <f>+J15-1</f>
        <v>#REF!</v>
      </c>
      <c r="J15" s="39" t="e">
        <f>+K15-1</f>
        <v>#REF!</v>
      </c>
      <c r="K15" s="39" t="e">
        <f>+L15-1</f>
        <v>#REF!</v>
      </c>
      <c r="L15" s="40" t="e">
        <f>B13</f>
        <v>#REF!</v>
      </c>
      <c r="M15" s="72" t="e">
        <f>+IF(M14&gt;0,$L$15+M14,"")</f>
        <v>#REF!</v>
      </c>
      <c r="N15" s="72" t="e">
        <f t="shared" ref="N15:BW15" si="2">+IF(N14&gt;0,$L$15+N14,"")</f>
        <v>#REF!</v>
      </c>
      <c r="O15" s="72" t="e">
        <f t="shared" si="2"/>
        <v>#REF!</v>
      </c>
      <c r="P15" s="72" t="e">
        <f t="shared" si="2"/>
        <v>#REF!</v>
      </c>
      <c r="Q15" s="72" t="e">
        <f t="shared" si="2"/>
        <v>#REF!</v>
      </c>
      <c r="R15" s="72" t="e">
        <f t="shared" si="2"/>
        <v>#REF!</v>
      </c>
      <c r="S15" s="72" t="e">
        <f t="shared" si="2"/>
        <v>#REF!</v>
      </c>
      <c r="T15" s="72" t="e">
        <f t="shared" si="2"/>
        <v>#REF!</v>
      </c>
      <c r="U15" s="72" t="e">
        <f t="shared" si="2"/>
        <v>#REF!</v>
      </c>
      <c r="V15" s="72" t="e">
        <f t="shared" si="2"/>
        <v>#REF!</v>
      </c>
      <c r="W15" t="str">
        <f t="shared" si="2"/>
        <v/>
      </c>
      <c r="X15" t="str">
        <f t="shared" si="2"/>
        <v/>
      </c>
      <c r="Y15" t="str">
        <f t="shared" si="2"/>
        <v/>
      </c>
      <c r="Z15" t="str">
        <f t="shared" si="2"/>
        <v/>
      </c>
      <c r="AA15" t="str">
        <f t="shared" si="2"/>
        <v/>
      </c>
      <c r="AB15" t="str">
        <f t="shared" si="2"/>
        <v/>
      </c>
      <c r="AC15" t="str">
        <f t="shared" si="2"/>
        <v/>
      </c>
      <c r="AD15" t="str">
        <f t="shared" si="2"/>
        <v/>
      </c>
      <c r="AE15" t="str">
        <f t="shared" si="2"/>
        <v/>
      </c>
      <c r="AF15" t="str">
        <f t="shared" si="2"/>
        <v/>
      </c>
      <c r="AG15" t="str">
        <f t="shared" si="2"/>
        <v/>
      </c>
      <c r="AH15" t="str">
        <f t="shared" si="2"/>
        <v/>
      </c>
      <c r="AI15" t="str">
        <f t="shared" si="2"/>
        <v/>
      </c>
      <c r="AJ15" t="str">
        <f t="shared" si="2"/>
        <v/>
      </c>
      <c r="AK15" t="str">
        <f t="shared" si="2"/>
        <v/>
      </c>
      <c r="AL15" t="str">
        <f t="shared" si="2"/>
        <v/>
      </c>
      <c r="AM15" t="str">
        <f t="shared" si="2"/>
        <v/>
      </c>
      <c r="AN15" t="str">
        <f t="shared" si="2"/>
        <v/>
      </c>
      <c r="AO15" t="str">
        <f t="shared" si="2"/>
        <v/>
      </c>
      <c r="AP15" t="str">
        <f t="shared" si="2"/>
        <v/>
      </c>
      <c r="AQ15" t="str">
        <f t="shared" si="2"/>
        <v/>
      </c>
      <c r="AR15" t="str">
        <f t="shared" si="2"/>
        <v/>
      </c>
      <c r="AS15" t="str">
        <f t="shared" si="2"/>
        <v/>
      </c>
      <c r="AT15" t="str">
        <f t="shared" si="2"/>
        <v/>
      </c>
      <c r="AU15" t="str">
        <f t="shared" si="2"/>
        <v/>
      </c>
      <c r="AV15" t="str">
        <f t="shared" si="2"/>
        <v/>
      </c>
      <c r="AW15" t="str">
        <f t="shared" si="2"/>
        <v/>
      </c>
      <c r="AX15" t="str">
        <f t="shared" si="2"/>
        <v/>
      </c>
      <c r="AY15" t="str">
        <f t="shared" si="2"/>
        <v/>
      </c>
      <c r="AZ15" t="str">
        <f t="shared" si="2"/>
        <v/>
      </c>
      <c r="BA15" t="str">
        <f t="shared" si="2"/>
        <v/>
      </c>
      <c r="BB15" t="str">
        <f t="shared" si="2"/>
        <v/>
      </c>
      <c r="BC15" t="str">
        <f t="shared" si="2"/>
        <v/>
      </c>
      <c r="BD15" t="str">
        <f t="shared" si="2"/>
        <v/>
      </c>
      <c r="BE15" t="str">
        <f t="shared" si="2"/>
        <v/>
      </c>
      <c r="BF15" t="str">
        <f t="shared" si="2"/>
        <v/>
      </c>
      <c r="BG15" t="str">
        <f t="shared" si="2"/>
        <v/>
      </c>
      <c r="BH15" t="str">
        <f t="shared" si="2"/>
        <v/>
      </c>
      <c r="BI15" t="str">
        <f t="shared" si="2"/>
        <v/>
      </c>
      <c r="BJ15" t="str">
        <f t="shared" si="2"/>
        <v/>
      </c>
      <c r="BK15" t="str">
        <f t="shared" si="2"/>
        <v/>
      </c>
      <c r="BL15" t="str">
        <f t="shared" si="2"/>
        <v/>
      </c>
      <c r="BM15" t="str">
        <f t="shared" si="2"/>
        <v/>
      </c>
      <c r="BN15" t="str">
        <f t="shared" si="2"/>
        <v/>
      </c>
      <c r="BO15" t="str">
        <f t="shared" si="2"/>
        <v/>
      </c>
      <c r="BP15" t="str">
        <f t="shared" si="2"/>
        <v/>
      </c>
      <c r="BQ15" t="str">
        <f t="shared" si="2"/>
        <v/>
      </c>
      <c r="BR15" t="str">
        <f t="shared" si="2"/>
        <v/>
      </c>
      <c r="BS15" t="str">
        <f t="shared" si="2"/>
        <v/>
      </c>
      <c r="BT15" t="str">
        <f t="shared" si="2"/>
        <v/>
      </c>
      <c r="BU15" t="str">
        <f t="shared" si="2"/>
        <v/>
      </c>
      <c r="BV15" t="str">
        <f t="shared" si="2"/>
        <v/>
      </c>
      <c r="BW15" t="str">
        <f t="shared" si="2"/>
        <v/>
      </c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</row>
    <row r="16" spans="1:255">
      <c r="A16" s="42" t="e">
        <f>+IF($B$11=#REF!,#REF!,"")</f>
        <v>#REF!</v>
      </c>
      <c r="B16" s="42" t="e">
        <f>+IF($B$11=#REF!,#REF!,"")</f>
        <v>#REF!</v>
      </c>
      <c r="C16" s="42" t="e">
        <f>+IF(B$11=#REF!,#REF!,"")</f>
        <v>#REF!</v>
      </c>
      <c r="D16" s="42">
        <v>7</v>
      </c>
      <c r="E16" s="42">
        <v>3</v>
      </c>
      <c r="F16" s="74">
        <v>44724</v>
      </c>
      <c r="G16" s="73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  <c r="EU16" s="64"/>
      <c r="EV16" s="64"/>
      <c r="EW16" s="64"/>
      <c r="EX16" s="64"/>
      <c r="EY16" s="64"/>
      <c r="EZ16" s="64"/>
      <c r="FA16" s="64"/>
      <c r="FB16" s="64"/>
      <c r="FC16" s="64"/>
      <c r="FD16" s="64"/>
      <c r="FE16" s="64"/>
      <c r="FF16" s="64"/>
      <c r="FG16" s="64"/>
      <c r="FH16" s="64"/>
      <c r="FI16" s="64"/>
      <c r="FJ16" s="64"/>
      <c r="FK16" s="64"/>
      <c r="FL16" s="64"/>
      <c r="FM16" s="64"/>
      <c r="FN16" s="64"/>
      <c r="FO16" s="64"/>
      <c r="FP16" s="64"/>
      <c r="FQ16" s="64"/>
      <c r="FR16" s="64"/>
      <c r="FS16" s="64"/>
      <c r="FT16" s="64"/>
      <c r="FU16" s="64"/>
      <c r="FV16" s="64"/>
      <c r="FW16" s="64"/>
      <c r="FX16" s="64"/>
      <c r="FY16" s="64"/>
      <c r="FZ16" s="64"/>
      <c r="GA16" s="64"/>
      <c r="GB16" s="64"/>
      <c r="GC16" s="64"/>
      <c r="GD16" s="64"/>
      <c r="GE16" s="64"/>
      <c r="GF16" s="64"/>
      <c r="GG16" s="64"/>
      <c r="GH16" s="64"/>
      <c r="GI16" s="64"/>
      <c r="GJ16" s="64"/>
      <c r="GK16" s="64"/>
      <c r="GL16" s="64"/>
      <c r="GM16" s="64"/>
      <c r="GN16" s="64"/>
      <c r="GO16" s="64"/>
      <c r="GP16" s="64"/>
      <c r="GQ16" s="64"/>
      <c r="GR16" s="64"/>
      <c r="GS16" s="64"/>
      <c r="GT16" s="64"/>
      <c r="GU16" s="64"/>
      <c r="GV16" s="64"/>
      <c r="GW16" s="64"/>
      <c r="GX16" s="64"/>
      <c r="GY16" s="64"/>
      <c r="GZ16" s="64"/>
      <c r="HA16" s="64"/>
      <c r="HB16" s="64"/>
      <c r="HC16" s="64"/>
      <c r="HD16" s="64"/>
      <c r="HE16" s="64"/>
      <c r="HF16" s="64"/>
      <c r="HG16" s="64"/>
      <c r="HH16" s="64"/>
      <c r="HI16" s="64"/>
      <c r="HJ16" s="64"/>
      <c r="HK16" s="64"/>
      <c r="HL16" s="64"/>
      <c r="HM16" s="64"/>
      <c r="HN16" s="64"/>
      <c r="HO16" s="64"/>
      <c r="HP16" s="64"/>
      <c r="HQ16" s="64"/>
      <c r="HR16" s="64"/>
      <c r="HS16" s="64"/>
      <c r="HT16" s="64"/>
      <c r="HU16" s="64"/>
      <c r="HV16" s="64"/>
      <c r="HW16" s="64"/>
      <c r="HX16" s="64"/>
      <c r="HY16" s="64"/>
      <c r="HZ16" s="64"/>
      <c r="IA16" s="64"/>
      <c r="IB16" s="64"/>
      <c r="IC16" s="64"/>
      <c r="ID16" s="64"/>
      <c r="IE16" s="64"/>
    </row>
    <row r="17" spans="1:239">
      <c r="A17" s="42" t="e">
        <f>+IF($B$11=#REF!,#REF!,"")</f>
        <v>#REF!</v>
      </c>
      <c r="B17" s="42" t="e">
        <f>+IF($B$11=#REF!,#REF!,"")</f>
        <v>#REF!</v>
      </c>
      <c r="C17" s="42" t="e">
        <f>+IF(B$11=#REF!,#REF!,"")</f>
        <v>#REF!</v>
      </c>
      <c r="D17" s="42">
        <v>5</v>
      </c>
      <c r="E17" s="42">
        <v>3</v>
      </c>
      <c r="F17" s="74">
        <v>44723</v>
      </c>
      <c r="G17" s="73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  <c r="GP17" s="64"/>
      <c r="GQ17" s="64"/>
      <c r="GR17" s="64"/>
      <c r="GS17" s="64"/>
      <c r="GT17" s="64"/>
      <c r="GU17" s="64"/>
      <c r="GV17" s="64"/>
      <c r="GW17" s="64"/>
      <c r="GX17" s="64"/>
      <c r="GY17" s="64"/>
      <c r="GZ17" s="64"/>
      <c r="HA17" s="64"/>
      <c r="HB17" s="64"/>
      <c r="HC17" s="64"/>
      <c r="HD17" s="64"/>
      <c r="HE17" s="64"/>
      <c r="HF17" s="64"/>
      <c r="HG17" s="64"/>
      <c r="HH17" s="64"/>
      <c r="HI17" s="64"/>
      <c r="HJ17" s="64"/>
      <c r="HK17" s="64"/>
      <c r="HL17" s="64"/>
      <c r="HM17" s="64"/>
      <c r="HN17" s="64"/>
      <c r="HO17" s="64"/>
      <c r="HP17" s="64"/>
      <c r="HQ17" s="64"/>
      <c r="HR17" s="64"/>
      <c r="HS17" s="64"/>
      <c r="HT17" s="64"/>
      <c r="HU17" s="64"/>
      <c r="HV17" s="64"/>
      <c r="HW17" s="64"/>
      <c r="HX17" s="64"/>
      <c r="HY17" s="64"/>
      <c r="HZ17" s="64"/>
      <c r="IA17" s="64"/>
      <c r="IB17" s="64"/>
      <c r="IC17" s="64"/>
      <c r="ID17" s="64"/>
      <c r="IE17" s="64"/>
    </row>
    <row r="18" spans="1:239">
      <c r="A18" s="42" t="e">
        <f>+IF($B$11=#REF!,#REF!,"")</f>
        <v>#REF!</v>
      </c>
      <c r="B18" s="42" t="e">
        <f>+IF($B$11=#REF!,#REF!,"")</f>
        <v>#REF!</v>
      </c>
      <c r="C18" s="42" t="e">
        <f>+IF(B$11=#REF!,#REF!,"")</f>
        <v>#REF!</v>
      </c>
      <c r="D18" s="42">
        <v>4</v>
      </c>
      <c r="E18" s="42">
        <v>3</v>
      </c>
      <c r="F18" s="74">
        <v>44722</v>
      </c>
      <c r="G18" s="73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  <c r="EA18" s="64"/>
      <c r="EB18" s="64"/>
      <c r="EC18" s="64"/>
      <c r="ED18" s="64"/>
      <c r="EE18" s="64"/>
      <c r="EF18" s="64"/>
      <c r="EG18" s="64"/>
      <c r="EH18" s="64"/>
      <c r="EI18" s="64"/>
      <c r="EJ18" s="64"/>
      <c r="EK18" s="64"/>
      <c r="EL18" s="64"/>
      <c r="EM18" s="64"/>
      <c r="EN18" s="64"/>
      <c r="EO18" s="64"/>
      <c r="EP18" s="64"/>
      <c r="EQ18" s="64"/>
      <c r="ER18" s="64"/>
      <c r="ES18" s="64"/>
      <c r="ET18" s="64"/>
      <c r="EU18" s="64"/>
      <c r="EV18" s="64"/>
      <c r="EW18" s="64"/>
      <c r="EX18" s="64"/>
      <c r="EY18" s="64"/>
      <c r="EZ18" s="64"/>
      <c r="FA18" s="64"/>
      <c r="FB18" s="64"/>
      <c r="FC18" s="64"/>
      <c r="FD18" s="64"/>
      <c r="FE18" s="64"/>
      <c r="FF18" s="64"/>
      <c r="FG18" s="64"/>
      <c r="FH18" s="64"/>
      <c r="FI18" s="64"/>
      <c r="FJ18" s="64"/>
      <c r="FK18" s="64"/>
      <c r="FL18" s="64"/>
      <c r="FM18" s="64"/>
      <c r="FN18" s="64"/>
      <c r="FO18" s="64"/>
      <c r="FP18" s="64"/>
      <c r="FQ18" s="64"/>
      <c r="FR18" s="64"/>
      <c r="FS18" s="64"/>
      <c r="FT18" s="64"/>
      <c r="FU18" s="64"/>
      <c r="FV18" s="64"/>
      <c r="FW18" s="64"/>
      <c r="FX18" s="64"/>
      <c r="FY18" s="64"/>
      <c r="FZ18" s="64"/>
      <c r="GA18" s="64"/>
      <c r="GB18" s="64"/>
      <c r="GC18" s="64"/>
      <c r="GD18" s="64"/>
      <c r="GE18" s="64"/>
      <c r="GF18" s="64"/>
      <c r="GG18" s="64"/>
      <c r="GH18" s="64"/>
      <c r="GI18" s="64"/>
      <c r="GJ18" s="64"/>
      <c r="GK18" s="64"/>
      <c r="GL18" s="64"/>
      <c r="GM18" s="64"/>
      <c r="GN18" s="64"/>
      <c r="GO18" s="64"/>
      <c r="GP18" s="64"/>
      <c r="GQ18" s="64"/>
      <c r="GR18" s="64"/>
      <c r="GS18" s="64"/>
      <c r="GT18" s="64"/>
      <c r="GU18" s="64"/>
      <c r="GV18" s="64"/>
      <c r="GW18" s="64"/>
      <c r="GX18" s="64"/>
      <c r="GY18" s="64"/>
      <c r="GZ18" s="64"/>
      <c r="HA18" s="64"/>
      <c r="HB18" s="64"/>
      <c r="HC18" s="64"/>
      <c r="HD18" s="64"/>
      <c r="HE18" s="64"/>
      <c r="HF18" s="64"/>
      <c r="HG18" s="64"/>
      <c r="HH18" s="64"/>
      <c r="HI18" s="64"/>
      <c r="HJ18" s="64"/>
      <c r="HK18" s="64"/>
      <c r="HL18" s="64"/>
      <c r="HM18" s="64"/>
      <c r="HN18" s="64"/>
      <c r="HO18" s="64"/>
      <c r="HP18" s="64"/>
      <c r="HQ18" s="64"/>
      <c r="HR18" s="64"/>
      <c r="HS18" s="64"/>
      <c r="HT18" s="64"/>
      <c r="HU18" s="64"/>
      <c r="HV18" s="64"/>
      <c r="HW18" s="64"/>
      <c r="HX18" s="64"/>
      <c r="HY18" s="64"/>
      <c r="HZ18" s="64"/>
      <c r="IA18" s="64"/>
      <c r="IB18" s="64"/>
      <c r="IC18" s="64"/>
      <c r="ID18" s="64"/>
      <c r="IE18" s="64"/>
    </row>
    <row r="19" spans="1:239">
      <c r="A19" s="42" t="e">
        <f>+IF($B$11=#REF!,#REF!,"")</f>
        <v>#REF!</v>
      </c>
      <c r="B19" s="42" t="e">
        <f>+IF($B$11=#REF!,#REF!,"")</f>
        <v>#REF!</v>
      </c>
      <c r="C19" s="42" t="e">
        <f>+IF(B$11=#REF!,#REF!,"")</f>
        <v>#REF!</v>
      </c>
      <c r="D19" s="42">
        <v>9</v>
      </c>
      <c r="E19" s="42">
        <v>4</v>
      </c>
      <c r="F19" s="74">
        <v>44726</v>
      </c>
      <c r="G19" s="73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</row>
    <row r="20" spans="1:239">
      <c r="A20" s="42" t="e">
        <f>+IF($B$11=#REF!,#REF!,"")</f>
        <v>#REF!</v>
      </c>
      <c r="B20" s="42" t="e">
        <f>+IF($B$11=#REF!,#REF!,"")</f>
        <v>#REF!</v>
      </c>
      <c r="C20" s="42" t="e">
        <f>+IF(B$11=#REF!,#REF!,"")</f>
        <v>#REF!</v>
      </c>
      <c r="D20" s="42" t="e">
        <f>+IF($B$11=#REF!,#REF!,"")</f>
        <v>#REF!</v>
      </c>
      <c r="E20" s="42" t="e">
        <f>+IF($B$11=#REF!,#REF!,"")</f>
        <v>#REF!</v>
      </c>
      <c r="F20" s="74" t="e">
        <f>+IF($B$11=#REF!,#REF!,"")</f>
        <v>#REF!</v>
      </c>
      <c r="G20" s="73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</row>
    <row r="21" spans="1:239">
      <c r="A21" s="6"/>
      <c r="B21" s="6"/>
      <c r="C21" s="6"/>
      <c r="D21" s="6"/>
      <c r="E21" s="6"/>
      <c r="F21" s="6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</row>
    <row r="22" spans="1:239"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</row>
    <row r="23" spans="1:239">
      <c r="A23" s="7"/>
      <c r="B23" s="7"/>
      <c r="C23" s="7"/>
      <c r="D23" s="7"/>
      <c r="E23" s="7"/>
      <c r="F23" s="56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  <c r="FE23" s="64"/>
      <c r="FF23" s="64"/>
      <c r="FG23" s="64"/>
      <c r="FH23" s="64"/>
      <c r="FI23" s="64"/>
      <c r="FJ23" s="64"/>
      <c r="FK23" s="64"/>
      <c r="FL23" s="64"/>
      <c r="FM23" s="64"/>
    </row>
    <row r="24" spans="1:239">
      <c r="A24" s="6"/>
      <c r="B24" s="6"/>
      <c r="C24" s="6"/>
      <c r="D24" s="6"/>
      <c r="E24" s="6"/>
      <c r="F24" s="6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</row>
    <row r="25" spans="1:239">
      <c r="A25" s="45" t="s">
        <v>23</v>
      </c>
      <c r="B25" s="46">
        <v>2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</row>
    <row r="26" spans="1:239" ht="74.25">
      <c r="A26" s="57" t="s">
        <v>24</v>
      </c>
      <c r="B26" s="58" t="e">
        <f>+COUNTIF(#REF!,1)</f>
        <v>#REF!</v>
      </c>
      <c r="C26" s="6"/>
      <c r="D26" s="6"/>
      <c r="E26" s="6"/>
      <c r="F26" s="59" t="s">
        <v>25</v>
      </c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</row>
    <row r="27" spans="1:239">
      <c r="A27" s="45" t="s">
        <v>10</v>
      </c>
      <c r="B27" s="62" t="e">
        <f>+IF(#REF!&lt;&gt;"",#REF!,"")</f>
        <v>#REF!</v>
      </c>
      <c r="C27" s="6"/>
      <c r="D27" s="6"/>
      <c r="E27" s="6"/>
      <c r="F27" s="60"/>
      <c r="G27" s="55" t="e">
        <f t="shared" ref="G27:L27" si="3">IF(G29&lt;&gt;"",TEXT(G29,"ddd"),"")</f>
        <v>#REF!</v>
      </c>
      <c r="H27" s="55" t="e">
        <f t="shared" si="3"/>
        <v>#REF!</v>
      </c>
      <c r="I27" s="55" t="e">
        <f t="shared" si="3"/>
        <v>#REF!</v>
      </c>
      <c r="J27" s="55" t="e">
        <f t="shared" si="3"/>
        <v>#REF!</v>
      </c>
      <c r="K27" s="55" t="e">
        <f t="shared" si="3"/>
        <v>#REF!</v>
      </c>
      <c r="L27" s="55" t="e">
        <f t="shared" si="3"/>
        <v>#REF!</v>
      </c>
      <c r="M27" s="55"/>
      <c r="N27" s="55" t="e">
        <f t="shared" ref="N27:BY27" si="4">IF(N29&lt;&gt;"",TEXT(N29,"ddd"),"")</f>
        <v>#REF!</v>
      </c>
      <c r="O27" s="55" t="e">
        <f t="shared" si="4"/>
        <v>#REF!</v>
      </c>
      <c r="P27" s="55" t="e">
        <f t="shared" si="4"/>
        <v>#REF!</v>
      </c>
      <c r="Q27" s="55" t="e">
        <f t="shared" si="4"/>
        <v>#REF!</v>
      </c>
      <c r="R27" s="55" t="e">
        <f t="shared" si="4"/>
        <v>#REF!</v>
      </c>
      <c r="S27" s="55" t="e">
        <f t="shared" si="4"/>
        <v>#REF!</v>
      </c>
      <c r="T27" s="55" t="e">
        <f t="shared" si="4"/>
        <v>#REF!</v>
      </c>
      <c r="U27" s="55" t="e">
        <f t="shared" si="4"/>
        <v>#REF!</v>
      </c>
      <c r="V27" s="55" t="e">
        <f t="shared" si="4"/>
        <v>#REF!</v>
      </c>
      <c r="W27" s="55" t="str">
        <f t="shared" si="4"/>
        <v/>
      </c>
      <c r="X27" s="55" t="str">
        <f t="shared" si="4"/>
        <v/>
      </c>
      <c r="Y27" s="55" t="str">
        <f t="shared" si="4"/>
        <v/>
      </c>
      <c r="Z27" s="55" t="str">
        <f t="shared" si="4"/>
        <v/>
      </c>
      <c r="AA27" s="55" t="str">
        <f t="shared" si="4"/>
        <v/>
      </c>
      <c r="AB27" s="55" t="str">
        <f t="shared" si="4"/>
        <v/>
      </c>
      <c r="AC27" s="55" t="str">
        <f t="shared" si="4"/>
        <v/>
      </c>
      <c r="AD27" s="55" t="str">
        <f t="shared" si="4"/>
        <v/>
      </c>
      <c r="AE27" s="55" t="str">
        <f t="shared" si="4"/>
        <v/>
      </c>
      <c r="AF27" s="55" t="str">
        <f t="shared" si="4"/>
        <v/>
      </c>
      <c r="AG27" s="55" t="str">
        <f t="shared" si="4"/>
        <v/>
      </c>
      <c r="AH27" s="55" t="str">
        <f t="shared" si="4"/>
        <v/>
      </c>
      <c r="AI27" s="55" t="str">
        <f t="shared" si="4"/>
        <v/>
      </c>
      <c r="AJ27" s="55" t="str">
        <f t="shared" si="4"/>
        <v/>
      </c>
      <c r="AK27" s="55" t="str">
        <f t="shared" si="4"/>
        <v/>
      </c>
      <c r="AL27" s="55" t="str">
        <f t="shared" si="4"/>
        <v/>
      </c>
      <c r="AM27" s="55" t="str">
        <f t="shared" si="4"/>
        <v/>
      </c>
      <c r="AN27" s="55" t="str">
        <f t="shared" si="4"/>
        <v/>
      </c>
      <c r="AO27" s="55" t="str">
        <f t="shared" si="4"/>
        <v/>
      </c>
      <c r="AP27" s="55" t="str">
        <f t="shared" si="4"/>
        <v/>
      </c>
      <c r="AQ27" s="55" t="str">
        <f t="shared" si="4"/>
        <v/>
      </c>
      <c r="AR27" s="55" t="str">
        <f t="shared" si="4"/>
        <v/>
      </c>
      <c r="AS27" s="55" t="str">
        <f t="shared" si="4"/>
        <v/>
      </c>
      <c r="AT27" s="55" t="str">
        <f t="shared" si="4"/>
        <v/>
      </c>
      <c r="AU27" s="55" t="str">
        <f t="shared" si="4"/>
        <v/>
      </c>
      <c r="AV27" s="55" t="str">
        <f t="shared" si="4"/>
        <v/>
      </c>
      <c r="AW27" s="55" t="str">
        <f t="shared" si="4"/>
        <v/>
      </c>
      <c r="AX27" s="55" t="str">
        <f t="shared" si="4"/>
        <v/>
      </c>
      <c r="AY27" s="55" t="str">
        <f t="shared" si="4"/>
        <v/>
      </c>
      <c r="AZ27" s="55" t="str">
        <f t="shared" si="4"/>
        <v/>
      </c>
      <c r="BA27" s="55" t="str">
        <f t="shared" si="4"/>
        <v/>
      </c>
      <c r="BB27" s="55" t="str">
        <f t="shared" si="4"/>
        <v/>
      </c>
      <c r="BC27" s="55" t="str">
        <f t="shared" si="4"/>
        <v/>
      </c>
      <c r="BD27" s="55" t="str">
        <f t="shared" si="4"/>
        <v/>
      </c>
      <c r="BE27" s="55" t="str">
        <f t="shared" si="4"/>
        <v/>
      </c>
      <c r="BF27" s="55" t="str">
        <f t="shared" si="4"/>
        <v/>
      </c>
      <c r="BG27" s="55" t="str">
        <f t="shared" si="4"/>
        <v/>
      </c>
      <c r="BH27" s="55" t="str">
        <f t="shared" si="4"/>
        <v/>
      </c>
      <c r="BI27" s="55" t="str">
        <f t="shared" si="4"/>
        <v/>
      </c>
      <c r="BJ27" s="55" t="str">
        <f t="shared" si="4"/>
        <v/>
      </c>
      <c r="BK27" s="55" t="str">
        <f t="shared" si="4"/>
        <v/>
      </c>
      <c r="BL27" s="55" t="str">
        <f t="shared" si="4"/>
        <v/>
      </c>
      <c r="BM27" s="55" t="str">
        <f t="shared" si="4"/>
        <v/>
      </c>
      <c r="BN27" s="55" t="str">
        <f t="shared" si="4"/>
        <v/>
      </c>
      <c r="BO27" s="55" t="str">
        <f t="shared" si="4"/>
        <v/>
      </c>
      <c r="BP27" s="55" t="str">
        <f t="shared" si="4"/>
        <v/>
      </c>
      <c r="BQ27" s="55" t="str">
        <f t="shared" si="4"/>
        <v/>
      </c>
      <c r="BR27" s="55" t="str">
        <f t="shared" si="4"/>
        <v/>
      </c>
      <c r="BS27" s="55" t="str">
        <f t="shared" si="4"/>
        <v/>
      </c>
      <c r="BT27" s="55" t="str">
        <f t="shared" si="4"/>
        <v/>
      </c>
      <c r="BU27" s="55" t="str">
        <f t="shared" si="4"/>
        <v/>
      </c>
      <c r="BV27" s="55" t="str">
        <f t="shared" si="4"/>
        <v/>
      </c>
      <c r="BW27" s="55" t="str">
        <f t="shared" si="4"/>
        <v/>
      </c>
      <c r="BX27" s="55" t="str">
        <f t="shared" si="4"/>
        <v/>
      </c>
      <c r="BY27" s="55" t="str">
        <f t="shared" si="4"/>
        <v/>
      </c>
      <c r="BZ27" s="55" t="str">
        <f t="shared" ref="BZ27:DO27" si="5">IF(BZ29&lt;&gt;"",TEXT(BZ29,"ddd"),"")</f>
        <v/>
      </c>
      <c r="CA27" s="55" t="str">
        <f t="shared" si="5"/>
        <v/>
      </c>
      <c r="CB27" s="55" t="str">
        <f t="shared" si="5"/>
        <v/>
      </c>
      <c r="CC27" s="55" t="str">
        <f t="shared" si="5"/>
        <v/>
      </c>
      <c r="CD27" s="55" t="str">
        <f t="shared" si="5"/>
        <v/>
      </c>
      <c r="CE27" s="55" t="str">
        <f t="shared" si="5"/>
        <v/>
      </c>
      <c r="CF27" s="55" t="str">
        <f t="shared" si="5"/>
        <v/>
      </c>
      <c r="CG27" s="55" t="str">
        <f t="shared" si="5"/>
        <v/>
      </c>
      <c r="CH27" s="55" t="str">
        <f t="shared" si="5"/>
        <v/>
      </c>
      <c r="CI27" s="55" t="str">
        <f t="shared" si="5"/>
        <v/>
      </c>
      <c r="CJ27" s="55" t="str">
        <f t="shared" si="5"/>
        <v/>
      </c>
      <c r="CK27" s="55" t="str">
        <f t="shared" si="5"/>
        <v/>
      </c>
      <c r="CL27" s="55" t="str">
        <f t="shared" si="5"/>
        <v/>
      </c>
      <c r="CM27" s="55" t="str">
        <f t="shared" si="5"/>
        <v/>
      </c>
      <c r="CN27" s="55" t="str">
        <f t="shared" si="5"/>
        <v/>
      </c>
      <c r="CO27" s="55" t="str">
        <f t="shared" si="5"/>
        <v/>
      </c>
      <c r="CP27" s="55" t="str">
        <f t="shared" si="5"/>
        <v/>
      </c>
      <c r="CQ27" s="55" t="str">
        <f t="shared" si="5"/>
        <v/>
      </c>
      <c r="CR27" s="55" t="str">
        <f t="shared" si="5"/>
        <v/>
      </c>
      <c r="CS27" s="55" t="str">
        <f t="shared" si="5"/>
        <v/>
      </c>
      <c r="CT27" s="55" t="str">
        <f t="shared" si="5"/>
        <v/>
      </c>
      <c r="CU27" s="55" t="str">
        <f t="shared" si="5"/>
        <v/>
      </c>
      <c r="CV27" s="55" t="str">
        <f t="shared" si="5"/>
        <v/>
      </c>
      <c r="CW27" s="55" t="str">
        <f t="shared" si="5"/>
        <v/>
      </c>
      <c r="CX27" s="55" t="str">
        <f t="shared" si="5"/>
        <v/>
      </c>
      <c r="CY27" s="55" t="str">
        <f t="shared" si="5"/>
        <v/>
      </c>
      <c r="CZ27" s="55" t="str">
        <f t="shared" si="5"/>
        <v/>
      </c>
      <c r="DA27" s="55" t="str">
        <f t="shared" si="5"/>
        <v/>
      </c>
      <c r="DB27" s="55" t="str">
        <f t="shared" si="5"/>
        <v/>
      </c>
      <c r="DC27" s="55" t="str">
        <f t="shared" si="5"/>
        <v/>
      </c>
      <c r="DD27" s="55" t="str">
        <f t="shared" si="5"/>
        <v/>
      </c>
      <c r="DE27" s="55" t="str">
        <f t="shared" si="5"/>
        <v/>
      </c>
      <c r="DF27" s="55" t="str">
        <f t="shared" si="5"/>
        <v/>
      </c>
      <c r="DG27" s="55" t="str">
        <f t="shared" si="5"/>
        <v/>
      </c>
      <c r="DH27" s="55" t="str">
        <f t="shared" si="5"/>
        <v/>
      </c>
      <c r="DI27" s="55" t="str">
        <f t="shared" si="5"/>
        <v/>
      </c>
      <c r="DJ27" s="55" t="str">
        <f t="shared" si="5"/>
        <v/>
      </c>
      <c r="DK27" s="55" t="str">
        <f t="shared" si="5"/>
        <v/>
      </c>
      <c r="DL27" s="55" t="str">
        <f t="shared" si="5"/>
        <v/>
      </c>
      <c r="DM27" s="55" t="str">
        <f t="shared" si="5"/>
        <v/>
      </c>
      <c r="DN27" s="55" t="str">
        <f t="shared" si="5"/>
        <v/>
      </c>
      <c r="DO27" s="55" t="str">
        <f t="shared" si="5"/>
        <v/>
      </c>
    </row>
    <row r="28" spans="1:239" ht="20.25" customHeight="1">
      <c r="A28" s="6"/>
      <c r="B28" s="6"/>
      <c r="C28" s="6"/>
      <c r="D28" s="6"/>
      <c r="E28" s="6"/>
      <c r="F28" s="6"/>
      <c r="G28" s="54">
        <v>-5</v>
      </c>
      <c r="H28" s="54">
        <v>-4</v>
      </c>
      <c r="I28" s="54">
        <v>-3</v>
      </c>
      <c r="J28" s="54">
        <v>-2</v>
      </c>
      <c r="K28" s="54">
        <v>-1</v>
      </c>
      <c r="L28" s="54">
        <v>0</v>
      </c>
      <c r="M28" s="2">
        <v>1</v>
      </c>
      <c r="N28" s="54">
        <v>2</v>
      </c>
      <c r="O28" s="54">
        <v>3</v>
      </c>
      <c r="P28" s="54">
        <v>4</v>
      </c>
      <c r="Q28" s="54">
        <v>5</v>
      </c>
      <c r="R28" s="54">
        <v>6</v>
      </c>
      <c r="S28" s="54">
        <v>7</v>
      </c>
      <c r="T28" s="54">
        <v>8</v>
      </c>
      <c r="U28" s="54">
        <v>9</v>
      </c>
      <c r="V28" s="54">
        <v>10</v>
      </c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</row>
    <row r="29" spans="1:239" ht="62.25" customHeight="1">
      <c r="A29" s="78" t="s">
        <v>26</v>
      </c>
      <c r="B29" s="78" t="s">
        <v>27</v>
      </c>
      <c r="C29" s="78" t="s">
        <v>28</v>
      </c>
      <c r="D29" s="78" t="s">
        <v>29</v>
      </c>
      <c r="E29" s="78" t="s">
        <v>30</v>
      </c>
      <c r="F29" s="79" t="s">
        <v>31</v>
      </c>
      <c r="G29" s="39" t="e">
        <f>+H29-1</f>
        <v>#REF!</v>
      </c>
      <c r="H29" s="39" t="e">
        <f>+I29-1</f>
        <v>#REF!</v>
      </c>
      <c r="I29" s="39" t="e">
        <f>+J29-1</f>
        <v>#REF!</v>
      </c>
      <c r="J29" s="39" t="e">
        <f>+K29-1</f>
        <v>#REF!</v>
      </c>
      <c r="K29" s="39" t="e">
        <f>+L29-1</f>
        <v>#REF!</v>
      </c>
      <c r="L29" s="40" t="e">
        <f>B27</f>
        <v>#REF!</v>
      </c>
      <c r="M29" s="72" t="e">
        <f>+IF(M28&gt;0,$L$29+M28,"")</f>
        <v>#REF!</v>
      </c>
      <c r="N29" s="72" t="e">
        <f t="shared" ref="N29:BY29" si="6">+IF(N28&gt;0,$L$29+N28,"")</f>
        <v>#REF!</v>
      </c>
      <c r="O29" s="72" t="e">
        <f t="shared" si="6"/>
        <v>#REF!</v>
      </c>
      <c r="P29" s="72" t="e">
        <f t="shared" si="6"/>
        <v>#REF!</v>
      </c>
      <c r="Q29" s="72" t="e">
        <f t="shared" si="6"/>
        <v>#REF!</v>
      </c>
      <c r="R29" s="72" t="e">
        <f t="shared" si="6"/>
        <v>#REF!</v>
      </c>
      <c r="S29" s="72" t="e">
        <f t="shared" si="6"/>
        <v>#REF!</v>
      </c>
      <c r="T29" s="72" t="e">
        <f t="shared" si="6"/>
        <v>#REF!</v>
      </c>
      <c r="U29" s="72" t="e">
        <f t="shared" si="6"/>
        <v>#REF!</v>
      </c>
      <c r="V29" s="72" t="e">
        <f t="shared" si="6"/>
        <v>#REF!</v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6"/>
        <v/>
      </c>
      <c r="AA29" t="str">
        <f t="shared" si="6"/>
        <v/>
      </c>
      <c r="AB29" t="str">
        <f t="shared" si="6"/>
        <v/>
      </c>
      <c r="AC29" t="str">
        <f t="shared" si="6"/>
        <v/>
      </c>
      <c r="AD29" t="str">
        <f t="shared" si="6"/>
        <v/>
      </c>
      <c r="AE29" t="str">
        <f t="shared" si="6"/>
        <v/>
      </c>
      <c r="AF29" t="str">
        <f t="shared" si="6"/>
        <v/>
      </c>
      <c r="AG29" t="str">
        <f t="shared" si="6"/>
        <v/>
      </c>
      <c r="AH29" t="str">
        <f t="shared" si="6"/>
        <v/>
      </c>
      <c r="AI29" t="str">
        <f t="shared" si="6"/>
        <v/>
      </c>
      <c r="AJ29" t="str">
        <f t="shared" si="6"/>
        <v/>
      </c>
      <c r="AK29" t="str">
        <f t="shared" si="6"/>
        <v/>
      </c>
      <c r="AL29" t="str">
        <f t="shared" si="6"/>
        <v/>
      </c>
      <c r="AM29" t="str">
        <f t="shared" si="6"/>
        <v/>
      </c>
      <c r="AN29" t="str">
        <f t="shared" si="6"/>
        <v/>
      </c>
      <c r="AO29" t="str">
        <f t="shared" si="6"/>
        <v/>
      </c>
      <c r="AP29" t="str">
        <f t="shared" si="6"/>
        <v/>
      </c>
      <c r="AQ29" t="str">
        <f t="shared" si="6"/>
        <v/>
      </c>
      <c r="AR29" t="str">
        <f t="shared" si="6"/>
        <v/>
      </c>
      <c r="AS29" t="str">
        <f t="shared" si="6"/>
        <v/>
      </c>
      <c r="AT29" t="str">
        <f t="shared" si="6"/>
        <v/>
      </c>
      <c r="AU29" t="str">
        <f t="shared" si="6"/>
        <v/>
      </c>
      <c r="AV29" t="str">
        <f t="shared" si="6"/>
        <v/>
      </c>
      <c r="AW29" t="str">
        <f t="shared" si="6"/>
        <v/>
      </c>
      <c r="AX29" t="str">
        <f t="shared" si="6"/>
        <v/>
      </c>
      <c r="AY29" t="str">
        <f t="shared" si="6"/>
        <v/>
      </c>
      <c r="AZ29" t="str">
        <f t="shared" si="6"/>
        <v/>
      </c>
      <c r="BA29" t="str">
        <f t="shared" si="6"/>
        <v/>
      </c>
      <c r="BB29" t="str">
        <f t="shared" si="6"/>
        <v/>
      </c>
      <c r="BC29" t="str">
        <f t="shared" si="6"/>
        <v/>
      </c>
      <c r="BD29" t="str">
        <f t="shared" si="6"/>
        <v/>
      </c>
      <c r="BE29" t="str">
        <f t="shared" si="6"/>
        <v/>
      </c>
      <c r="BF29" t="str">
        <f t="shared" si="6"/>
        <v/>
      </c>
      <c r="BG29" t="str">
        <f t="shared" si="6"/>
        <v/>
      </c>
      <c r="BH29" t="str">
        <f t="shared" si="6"/>
        <v/>
      </c>
      <c r="BI29" t="str">
        <f t="shared" si="6"/>
        <v/>
      </c>
      <c r="BJ29" t="str">
        <f t="shared" si="6"/>
        <v/>
      </c>
      <c r="BK29" t="str">
        <f t="shared" si="6"/>
        <v/>
      </c>
      <c r="BL29" t="str">
        <f t="shared" si="6"/>
        <v/>
      </c>
      <c r="BM29" t="str">
        <f t="shared" si="6"/>
        <v/>
      </c>
      <c r="BN29" t="str">
        <f t="shared" si="6"/>
        <v/>
      </c>
      <c r="BO29" t="str">
        <f t="shared" si="6"/>
        <v/>
      </c>
      <c r="BP29" t="str">
        <f t="shared" si="6"/>
        <v/>
      </c>
      <c r="BQ29" t="str">
        <f t="shared" si="6"/>
        <v/>
      </c>
      <c r="BR29" t="str">
        <f t="shared" si="6"/>
        <v/>
      </c>
      <c r="BS29" t="str">
        <f t="shared" si="6"/>
        <v/>
      </c>
      <c r="BT29" t="str">
        <f t="shared" si="6"/>
        <v/>
      </c>
      <c r="BU29" t="str">
        <f t="shared" si="6"/>
        <v/>
      </c>
      <c r="BV29" t="str">
        <f t="shared" si="6"/>
        <v/>
      </c>
      <c r="BW29" t="str">
        <f t="shared" si="6"/>
        <v/>
      </c>
      <c r="BX29" t="str">
        <f t="shared" si="6"/>
        <v/>
      </c>
      <c r="BY29" t="str">
        <f t="shared" si="6"/>
        <v/>
      </c>
      <c r="BZ29" t="str">
        <f t="shared" ref="BZ29:EK29" si="7">+IF(BZ28&gt;0,$L$29+BZ28,"")</f>
        <v/>
      </c>
      <c r="CA29" t="str">
        <f t="shared" si="7"/>
        <v/>
      </c>
      <c r="CB29" t="str">
        <f t="shared" si="7"/>
        <v/>
      </c>
      <c r="CC29" t="str">
        <f t="shared" si="7"/>
        <v/>
      </c>
      <c r="CD29" t="str">
        <f t="shared" si="7"/>
        <v/>
      </c>
      <c r="CE29" t="str">
        <f t="shared" si="7"/>
        <v/>
      </c>
      <c r="CF29" t="str">
        <f t="shared" si="7"/>
        <v/>
      </c>
      <c r="CG29" t="str">
        <f t="shared" si="7"/>
        <v/>
      </c>
      <c r="CH29" t="str">
        <f t="shared" si="7"/>
        <v/>
      </c>
      <c r="CI29" t="str">
        <f t="shared" si="7"/>
        <v/>
      </c>
      <c r="CJ29" t="str">
        <f t="shared" si="7"/>
        <v/>
      </c>
      <c r="CK29" t="str">
        <f t="shared" si="7"/>
        <v/>
      </c>
      <c r="CL29" t="str">
        <f t="shared" si="7"/>
        <v/>
      </c>
      <c r="CM29" t="str">
        <f t="shared" si="7"/>
        <v/>
      </c>
      <c r="CN29" t="str">
        <f t="shared" si="7"/>
        <v/>
      </c>
      <c r="CO29" t="str">
        <f t="shared" si="7"/>
        <v/>
      </c>
      <c r="CP29" t="str">
        <f t="shared" si="7"/>
        <v/>
      </c>
      <c r="CQ29" t="str">
        <f t="shared" si="7"/>
        <v/>
      </c>
      <c r="CR29" t="str">
        <f t="shared" si="7"/>
        <v/>
      </c>
      <c r="CS29" t="str">
        <f t="shared" si="7"/>
        <v/>
      </c>
      <c r="CT29" t="str">
        <f t="shared" si="7"/>
        <v/>
      </c>
      <c r="CU29" t="str">
        <f t="shared" si="7"/>
        <v/>
      </c>
      <c r="CV29" t="str">
        <f t="shared" si="7"/>
        <v/>
      </c>
      <c r="CW29" t="str">
        <f t="shared" si="7"/>
        <v/>
      </c>
      <c r="CX29" t="str">
        <f t="shared" si="7"/>
        <v/>
      </c>
      <c r="CY29" t="str">
        <f t="shared" si="7"/>
        <v/>
      </c>
      <c r="CZ29" t="str">
        <f t="shared" si="7"/>
        <v/>
      </c>
      <c r="DA29" t="str">
        <f t="shared" si="7"/>
        <v/>
      </c>
      <c r="DB29" t="str">
        <f t="shared" si="7"/>
        <v/>
      </c>
      <c r="DC29" t="str">
        <f t="shared" si="7"/>
        <v/>
      </c>
      <c r="DD29" t="str">
        <f t="shared" si="7"/>
        <v/>
      </c>
      <c r="DE29" t="str">
        <f t="shared" si="7"/>
        <v/>
      </c>
      <c r="DF29" t="str">
        <f t="shared" si="7"/>
        <v/>
      </c>
      <c r="DG29" t="str">
        <f t="shared" si="7"/>
        <v/>
      </c>
      <c r="DH29" t="str">
        <f t="shared" si="7"/>
        <v/>
      </c>
      <c r="DI29" t="str">
        <f t="shared" si="7"/>
        <v/>
      </c>
      <c r="DJ29" t="str">
        <f t="shared" si="7"/>
        <v/>
      </c>
      <c r="DK29" t="str">
        <f t="shared" si="7"/>
        <v/>
      </c>
      <c r="DL29" t="str">
        <f t="shared" si="7"/>
        <v/>
      </c>
      <c r="DM29" t="str">
        <f t="shared" si="7"/>
        <v/>
      </c>
      <c r="DN29" t="str">
        <f t="shared" si="7"/>
        <v/>
      </c>
      <c r="DO29" t="str">
        <f t="shared" si="7"/>
        <v/>
      </c>
      <c r="DP29" t="str">
        <f t="shared" si="7"/>
        <v/>
      </c>
      <c r="DQ29" t="str">
        <f t="shared" si="7"/>
        <v/>
      </c>
      <c r="DR29" t="str">
        <f t="shared" si="7"/>
        <v/>
      </c>
      <c r="DS29" t="str">
        <f t="shared" si="7"/>
        <v/>
      </c>
      <c r="DT29" t="str">
        <f t="shared" si="7"/>
        <v/>
      </c>
      <c r="DU29" t="str">
        <f t="shared" si="7"/>
        <v/>
      </c>
      <c r="DV29" t="str">
        <f t="shared" si="7"/>
        <v/>
      </c>
      <c r="DW29" t="str">
        <f t="shared" si="7"/>
        <v/>
      </c>
      <c r="DX29" t="str">
        <f t="shared" si="7"/>
        <v/>
      </c>
      <c r="DY29" t="str">
        <f t="shared" si="7"/>
        <v/>
      </c>
      <c r="DZ29" t="str">
        <f t="shared" si="7"/>
        <v/>
      </c>
      <c r="EA29" t="str">
        <f t="shared" si="7"/>
        <v/>
      </c>
      <c r="EB29" t="str">
        <f t="shared" si="7"/>
        <v/>
      </c>
      <c r="EC29" t="str">
        <f t="shared" si="7"/>
        <v/>
      </c>
      <c r="ED29" t="str">
        <f t="shared" si="7"/>
        <v/>
      </c>
      <c r="EE29" t="str">
        <f t="shared" si="7"/>
        <v/>
      </c>
      <c r="EF29" t="str">
        <f t="shared" si="7"/>
        <v/>
      </c>
      <c r="EG29" t="str">
        <f t="shared" si="7"/>
        <v/>
      </c>
      <c r="EH29" t="str">
        <f t="shared" si="7"/>
        <v/>
      </c>
      <c r="EI29" t="str">
        <f t="shared" si="7"/>
        <v/>
      </c>
      <c r="EJ29" t="str">
        <f t="shared" si="7"/>
        <v/>
      </c>
      <c r="EK29" t="str">
        <f t="shared" si="7"/>
        <v/>
      </c>
      <c r="EL29" t="str">
        <f t="shared" ref="EL29:EU29" si="8">+IF(EL28&gt;0,$L$29+EL28,"")</f>
        <v/>
      </c>
      <c r="EM29" t="str">
        <f t="shared" si="8"/>
        <v/>
      </c>
      <c r="EN29" t="str">
        <f t="shared" si="8"/>
        <v/>
      </c>
      <c r="EO29" t="str">
        <f t="shared" si="8"/>
        <v/>
      </c>
      <c r="EP29" t="str">
        <f t="shared" si="8"/>
        <v/>
      </c>
      <c r="EQ29" t="str">
        <f t="shared" si="8"/>
        <v/>
      </c>
      <c r="ER29" t="str">
        <f t="shared" si="8"/>
        <v/>
      </c>
      <c r="ES29" t="str">
        <f t="shared" si="8"/>
        <v/>
      </c>
      <c r="ET29" t="str">
        <f t="shared" si="8"/>
        <v/>
      </c>
      <c r="EU29" t="str">
        <f t="shared" si="8"/>
        <v/>
      </c>
    </row>
    <row r="30" spans="1:239">
      <c r="A30" s="42" t="e">
        <f>+IF($B$25=#REF!,#REF!,"")</f>
        <v>#REF!</v>
      </c>
      <c r="B30" s="42" t="e">
        <f>+IF($B$25=#REF!,#REF!,"")</f>
        <v>#REF!</v>
      </c>
      <c r="C30" s="42" t="e">
        <f>+IF($B$25=#REF!,#REF!,"")</f>
        <v>#REF!</v>
      </c>
      <c r="D30" s="42" t="e">
        <f>+IF($B$25=#REF!,#REF!,"")</f>
        <v>#REF!</v>
      </c>
      <c r="E30" s="42" t="e">
        <f>+IF($B$25=#REF!,#REF!,"")</f>
        <v>#REF!</v>
      </c>
      <c r="F30" s="43" t="e">
        <f>+IF($B$25=#REF!,#REF!,"")</f>
        <v>#REF!</v>
      </c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  <c r="EU30" s="64"/>
      <c r="EV30" s="64"/>
      <c r="EW30" s="64"/>
    </row>
    <row r="31" spans="1:239">
      <c r="A31" s="42" t="e">
        <f>+IF($B$25=#REF!,#REF!,"")</f>
        <v>#REF!</v>
      </c>
      <c r="B31" s="42" t="e">
        <f>+IF($B$25=#REF!,#REF!,"")</f>
        <v>#REF!</v>
      </c>
      <c r="C31" s="42" t="e">
        <f>+IF($B$25=#REF!,#REF!,"")</f>
        <v>#REF!</v>
      </c>
      <c r="D31" s="42" t="e">
        <f>+IF($B$25=#REF!,#REF!,"")</f>
        <v>#REF!</v>
      </c>
      <c r="E31" s="42" t="e">
        <f>+IF($B$25=#REF!,#REF!,"")</f>
        <v>#REF!</v>
      </c>
      <c r="F31" s="43" t="e">
        <f>+IF($B$25=#REF!,#REF!,"")</f>
        <v>#REF!</v>
      </c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</row>
    <row r="32" spans="1:239">
      <c r="A32" s="42" t="e">
        <f>+IF($B$25=#REF!,#REF!,"")</f>
        <v>#REF!</v>
      </c>
      <c r="B32" s="42" t="e">
        <f>+IF($B$25=#REF!,#REF!,"")</f>
        <v>#REF!</v>
      </c>
      <c r="C32" s="42" t="e">
        <f>+IF($B$25=#REF!,#REF!,"")</f>
        <v>#REF!</v>
      </c>
      <c r="D32" s="42" t="e">
        <f>+IF($B$25=#REF!,#REF!,"")</f>
        <v>#REF!</v>
      </c>
      <c r="E32" s="42" t="e">
        <f>+IF($B$25=#REF!,#REF!,"")</f>
        <v>#REF!</v>
      </c>
      <c r="F32" s="43" t="e">
        <f>+IF($B$25=#REF!,#REF!,"")</f>
        <v>#REF!</v>
      </c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  <c r="EU32" s="64"/>
      <c r="EV32" s="64"/>
      <c r="EW32" s="64"/>
    </row>
    <row r="33" spans="1:177">
      <c r="A33" s="42" t="e">
        <f>+IF($B$25=#REF!,#REF!,"")</f>
        <v>#REF!</v>
      </c>
      <c r="B33" s="42" t="e">
        <f>+IF($B$25=#REF!,#REF!,"")</f>
        <v>#REF!</v>
      </c>
      <c r="C33" s="42" t="e">
        <f>+IF($B$25=#REF!,#REF!,"")</f>
        <v>#REF!</v>
      </c>
      <c r="D33" s="42" t="e">
        <f>+IF($B$25=#REF!,#REF!,"")</f>
        <v>#REF!</v>
      </c>
      <c r="E33" s="42" t="e">
        <f>+IF($B$25=#REF!,#REF!,"")</f>
        <v>#REF!</v>
      </c>
      <c r="F33" s="43" t="e">
        <f>+IF($B$25=#REF!,#REF!,"")</f>
        <v>#REF!</v>
      </c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  <c r="EU33" s="64"/>
      <c r="EV33" s="64"/>
      <c r="EW33" s="64"/>
    </row>
    <row r="34" spans="1:177">
      <c r="A34" s="42" t="e">
        <f>+IF($B$25=#REF!,#REF!,"")</f>
        <v>#REF!</v>
      </c>
      <c r="B34" s="42" t="e">
        <f>+IF($B$25=#REF!,#REF!,"")</f>
        <v>#REF!</v>
      </c>
      <c r="C34" s="42" t="e">
        <f>+IF($B$25=#REF!,#REF!,"")</f>
        <v>#REF!</v>
      </c>
      <c r="D34" s="42" t="e">
        <f>+IF($B$25=#REF!,#REF!,"")</f>
        <v>#REF!</v>
      </c>
      <c r="E34" s="42" t="e">
        <f>+IF($B$25=#REF!,#REF!,"")</f>
        <v>#REF!</v>
      </c>
      <c r="F34" s="43" t="e">
        <f>+IF($B$25=#REF!,#REF!,"")</f>
        <v>#REF!</v>
      </c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  <c r="EU34" s="64"/>
      <c r="EV34" s="64"/>
      <c r="EW34" s="64"/>
    </row>
    <row r="35" spans="1:177">
      <c r="A35" s="49"/>
      <c r="B35" s="49"/>
      <c r="C35" s="49"/>
      <c r="D35" s="49"/>
      <c r="E35" s="49"/>
      <c r="F35" s="49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  <c r="EU35" s="64"/>
      <c r="EV35" s="64"/>
      <c r="EW35" s="64"/>
    </row>
    <row r="36" spans="1:177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</row>
    <row r="37" spans="1:177">
      <c r="A37" s="45" t="s">
        <v>23</v>
      </c>
      <c r="B37" s="46">
        <v>3</v>
      </c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</row>
    <row r="38" spans="1:177" ht="74.25">
      <c r="A38" s="57" t="s">
        <v>24</v>
      </c>
      <c r="B38" s="58" t="e">
        <f>+COUNTIF(#REF!,1)</f>
        <v>#REF!</v>
      </c>
      <c r="C38" s="6"/>
      <c r="D38" s="6"/>
      <c r="E38" s="6"/>
      <c r="F38" s="59" t="s">
        <v>25</v>
      </c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</row>
    <row r="39" spans="1:177">
      <c r="A39" s="45" t="s">
        <v>10</v>
      </c>
      <c r="B39" s="62" t="e">
        <f>IF(#REF!&lt;&gt;0,#REF!,"")</f>
        <v>#REF!</v>
      </c>
      <c r="C39" s="6"/>
      <c r="D39" s="6"/>
      <c r="E39" s="6"/>
      <c r="F39" s="60"/>
      <c r="G39" s="55" t="e">
        <f>IF(G41&lt;&gt;"",TEXT(G41,"ddd"),"")</f>
        <v>#REF!</v>
      </c>
      <c r="H39" s="55" t="e">
        <f t="shared" ref="H39:BS39" si="9">IF(H41&lt;&gt;"",TEXT(H41,"ddd"),"")</f>
        <v>#REF!</v>
      </c>
      <c r="I39" s="55" t="e">
        <f t="shared" si="9"/>
        <v>#REF!</v>
      </c>
      <c r="J39" s="55" t="e">
        <f t="shared" si="9"/>
        <v>#REF!</v>
      </c>
      <c r="K39" s="55" t="e">
        <f t="shared" si="9"/>
        <v>#REF!</v>
      </c>
      <c r="L39" s="55" t="e">
        <f t="shared" si="9"/>
        <v>#REF!</v>
      </c>
      <c r="M39" s="55" t="e">
        <f t="shared" si="9"/>
        <v>#REF!</v>
      </c>
      <c r="N39" s="55" t="e">
        <f t="shared" si="9"/>
        <v>#REF!</v>
      </c>
      <c r="O39" s="55" t="e">
        <f t="shared" si="9"/>
        <v>#REF!</v>
      </c>
      <c r="P39" s="55" t="e">
        <f t="shared" si="9"/>
        <v>#REF!</v>
      </c>
      <c r="Q39" s="55" t="e">
        <f t="shared" si="9"/>
        <v>#REF!</v>
      </c>
      <c r="R39" s="55" t="e">
        <f t="shared" si="9"/>
        <v>#REF!</v>
      </c>
      <c r="S39" s="55" t="e">
        <f t="shared" si="9"/>
        <v>#REF!</v>
      </c>
      <c r="T39" s="55" t="e">
        <f t="shared" si="9"/>
        <v>#REF!</v>
      </c>
      <c r="U39" s="55" t="e">
        <f t="shared" si="9"/>
        <v>#REF!</v>
      </c>
      <c r="V39" s="55" t="e">
        <f t="shared" si="9"/>
        <v>#REF!</v>
      </c>
      <c r="W39" s="55" t="str">
        <f t="shared" si="9"/>
        <v/>
      </c>
      <c r="X39" s="55" t="str">
        <f t="shared" si="9"/>
        <v/>
      </c>
      <c r="Y39" s="55" t="str">
        <f t="shared" si="9"/>
        <v/>
      </c>
      <c r="Z39" s="55" t="str">
        <f t="shared" si="9"/>
        <v/>
      </c>
      <c r="AA39" s="55" t="str">
        <f t="shared" si="9"/>
        <v/>
      </c>
      <c r="AB39" s="55" t="str">
        <f t="shared" si="9"/>
        <v/>
      </c>
      <c r="AC39" s="55" t="str">
        <f t="shared" si="9"/>
        <v/>
      </c>
      <c r="AD39" s="55" t="str">
        <f t="shared" si="9"/>
        <v/>
      </c>
      <c r="AE39" s="55" t="str">
        <f t="shared" si="9"/>
        <v/>
      </c>
      <c r="AF39" s="55" t="str">
        <f t="shared" si="9"/>
        <v/>
      </c>
      <c r="AG39" s="55" t="str">
        <f t="shared" si="9"/>
        <v/>
      </c>
      <c r="AH39" s="55" t="str">
        <f t="shared" si="9"/>
        <v/>
      </c>
      <c r="AI39" s="55" t="str">
        <f t="shared" si="9"/>
        <v/>
      </c>
      <c r="AJ39" s="55" t="str">
        <f t="shared" si="9"/>
        <v/>
      </c>
      <c r="AK39" s="55" t="str">
        <f t="shared" si="9"/>
        <v/>
      </c>
      <c r="AL39" s="55" t="str">
        <f t="shared" si="9"/>
        <v/>
      </c>
      <c r="AM39" s="55" t="str">
        <f t="shared" si="9"/>
        <v/>
      </c>
      <c r="AN39" s="55" t="str">
        <f t="shared" si="9"/>
        <v/>
      </c>
      <c r="AO39" s="55" t="str">
        <f t="shared" si="9"/>
        <v/>
      </c>
      <c r="AP39" s="55" t="str">
        <f t="shared" si="9"/>
        <v/>
      </c>
      <c r="AQ39" s="55" t="str">
        <f t="shared" si="9"/>
        <v/>
      </c>
      <c r="AR39" s="55" t="str">
        <f t="shared" si="9"/>
        <v/>
      </c>
      <c r="AS39" s="55" t="str">
        <f t="shared" si="9"/>
        <v/>
      </c>
      <c r="AT39" s="55" t="str">
        <f t="shared" si="9"/>
        <v/>
      </c>
      <c r="AU39" s="55" t="str">
        <f t="shared" si="9"/>
        <v/>
      </c>
      <c r="AV39" s="55" t="str">
        <f t="shared" si="9"/>
        <v/>
      </c>
      <c r="AW39" s="55" t="str">
        <f t="shared" si="9"/>
        <v/>
      </c>
      <c r="AX39" s="55" t="str">
        <f t="shared" si="9"/>
        <v/>
      </c>
      <c r="AY39" s="55" t="str">
        <f t="shared" si="9"/>
        <v/>
      </c>
      <c r="AZ39" s="55" t="str">
        <f t="shared" si="9"/>
        <v/>
      </c>
      <c r="BA39" s="55" t="str">
        <f t="shared" si="9"/>
        <v/>
      </c>
      <c r="BB39" s="55" t="str">
        <f t="shared" si="9"/>
        <v/>
      </c>
      <c r="BC39" s="55" t="str">
        <f t="shared" si="9"/>
        <v/>
      </c>
      <c r="BD39" s="55" t="str">
        <f t="shared" si="9"/>
        <v/>
      </c>
      <c r="BE39" s="55" t="str">
        <f t="shared" si="9"/>
        <v/>
      </c>
      <c r="BF39" s="55" t="str">
        <f t="shared" si="9"/>
        <v/>
      </c>
      <c r="BG39" s="55" t="str">
        <f t="shared" si="9"/>
        <v/>
      </c>
      <c r="BH39" s="55" t="str">
        <f t="shared" si="9"/>
        <v/>
      </c>
      <c r="BI39" s="55" t="str">
        <f t="shared" si="9"/>
        <v/>
      </c>
      <c r="BJ39" s="55" t="str">
        <f t="shared" si="9"/>
        <v/>
      </c>
      <c r="BK39" s="55" t="str">
        <f t="shared" si="9"/>
        <v/>
      </c>
      <c r="BL39" s="55" t="str">
        <f t="shared" si="9"/>
        <v/>
      </c>
      <c r="BM39" s="55" t="str">
        <f t="shared" si="9"/>
        <v/>
      </c>
      <c r="BN39" s="55" t="str">
        <f t="shared" si="9"/>
        <v/>
      </c>
      <c r="BO39" s="55" t="str">
        <f t="shared" si="9"/>
        <v/>
      </c>
      <c r="BP39" s="55" t="str">
        <f t="shared" si="9"/>
        <v/>
      </c>
      <c r="BQ39" s="55" t="str">
        <f t="shared" si="9"/>
        <v/>
      </c>
      <c r="BR39" s="55" t="str">
        <f t="shared" si="9"/>
        <v/>
      </c>
      <c r="BS39" s="55" t="str">
        <f t="shared" si="9"/>
        <v/>
      </c>
      <c r="BT39" s="55" t="str">
        <f t="shared" ref="BT39:EE39" si="10">IF(BT41&lt;&gt;"",TEXT(BT41,"ddd"),"")</f>
        <v/>
      </c>
      <c r="BU39" s="55" t="str">
        <f t="shared" si="10"/>
        <v/>
      </c>
      <c r="BV39" s="55" t="str">
        <f t="shared" si="10"/>
        <v/>
      </c>
      <c r="BW39" s="55" t="str">
        <f t="shared" si="10"/>
        <v/>
      </c>
      <c r="BX39" s="55" t="str">
        <f t="shared" si="10"/>
        <v/>
      </c>
      <c r="BY39" s="55" t="str">
        <f t="shared" si="10"/>
        <v/>
      </c>
      <c r="BZ39" s="55" t="str">
        <f t="shared" si="10"/>
        <v/>
      </c>
      <c r="CA39" s="55" t="str">
        <f t="shared" si="10"/>
        <v/>
      </c>
      <c r="CB39" s="55" t="str">
        <f t="shared" si="10"/>
        <v/>
      </c>
      <c r="CC39" s="55" t="str">
        <f t="shared" si="10"/>
        <v/>
      </c>
      <c r="CD39" s="55" t="str">
        <f t="shared" si="10"/>
        <v/>
      </c>
      <c r="CE39" s="55" t="str">
        <f t="shared" si="10"/>
        <v/>
      </c>
      <c r="CF39" s="55" t="str">
        <f t="shared" si="10"/>
        <v/>
      </c>
      <c r="CG39" s="55" t="str">
        <f t="shared" si="10"/>
        <v/>
      </c>
      <c r="CH39" s="55" t="str">
        <f t="shared" si="10"/>
        <v/>
      </c>
      <c r="CI39" s="55" t="str">
        <f t="shared" si="10"/>
        <v/>
      </c>
      <c r="CJ39" s="55" t="str">
        <f t="shared" si="10"/>
        <v/>
      </c>
      <c r="CK39" s="55" t="str">
        <f t="shared" si="10"/>
        <v/>
      </c>
      <c r="CL39" s="55" t="str">
        <f t="shared" si="10"/>
        <v/>
      </c>
      <c r="CM39" s="55" t="str">
        <f t="shared" si="10"/>
        <v/>
      </c>
      <c r="CN39" s="55" t="str">
        <f t="shared" si="10"/>
        <v/>
      </c>
      <c r="CO39" s="55" t="str">
        <f t="shared" si="10"/>
        <v/>
      </c>
      <c r="CP39" s="55" t="str">
        <f t="shared" si="10"/>
        <v/>
      </c>
      <c r="CQ39" s="55" t="str">
        <f t="shared" si="10"/>
        <v/>
      </c>
      <c r="CR39" s="55" t="str">
        <f t="shared" si="10"/>
        <v/>
      </c>
      <c r="CS39" s="55" t="str">
        <f t="shared" si="10"/>
        <v/>
      </c>
      <c r="CT39" s="55" t="str">
        <f t="shared" si="10"/>
        <v/>
      </c>
      <c r="CU39" s="55" t="str">
        <f t="shared" si="10"/>
        <v/>
      </c>
      <c r="CV39" s="55" t="str">
        <f t="shared" si="10"/>
        <v/>
      </c>
      <c r="CW39" s="55" t="str">
        <f t="shared" si="10"/>
        <v/>
      </c>
      <c r="CX39" s="55" t="str">
        <f t="shared" si="10"/>
        <v/>
      </c>
      <c r="CY39" s="55" t="str">
        <f t="shared" si="10"/>
        <v/>
      </c>
      <c r="CZ39" s="55" t="str">
        <f t="shared" si="10"/>
        <v/>
      </c>
      <c r="DA39" s="55" t="str">
        <f t="shared" si="10"/>
        <v/>
      </c>
      <c r="DB39" s="55" t="str">
        <f t="shared" si="10"/>
        <v/>
      </c>
      <c r="DC39" s="55" t="str">
        <f t="shared" si="10"/>
        <v/>
      </c>
      <c r="DD39" s="55" t="str">
        <f t="shared" si="10"/>
        <v/>
      </c>
      <c r="DE39" s="55" t="str">
        <f t="shared" si="10"/>
        <v/>
      </c>
      <c r="DF39" s="55" t="str">
        <f t="shared" si="10"/>
        <v/>
      </c>
      <c r="DG39" s="55" t="str">
        <f t="shared" si="10"/>
        <v/>
      </c>
      <c r="DH39" s="55" t="str">
        <f t="shared" si="10"/>
        <v/>
      </c>
      <c r="DI39" s="55" t="str">
        <f t="shared" si="10"/>
        <v/>
      </c>
      <c r="DJ39" s="55" t="str">
        <f t="shared" si="10"/>
        <v/>
      </c>
      <c r="DK39" s="55" t="str">
        <f t="shared" si="10"/>
        <v/>
      </c>
      <c r="DL39" s="55" t="str">
        <f t="shared" si="10"/>
        <v/>
      </c>
      <c r="DM39" s="55" t="str">
        <f t="shared" si="10"/>
        <v/>
      </c>
      <c r="DN39" s="55" t="str">
        <f t="shared" si="10"/>
        <v/>
      </c>
      <c r="DO39" s="55" t="str">
        <f t="shared" si="10"/>
        <v/>
      </c>
      <c r="DP39" s="55" t="str">
        <f t="shared" si="10"/>
        <v/>
      </c>
      <c r="DQ39" s="55" t="str">
        <f t="shared" si="10"/>
        <v/>
      </c>
      <c r="DR39" s="55" t="str">
        <f t="shared" si="10"/>
        <v/>
      </c>
      <c r="DS39" s="55" t="str">
        <f t="shared" si="10"/>
        <v/>
      </c>
      <c r="DT39" s="55" t="str">
        <f t="shared" si="10"/>
        <v/>
      </c>
      <c r="DU39" s="55" t="str">
        <f t="shared" si="10"/>
        <v/>
      </c>
      <c r="DV39" s="55" t="str">
        <f t="shared" si="10"/>
        <v/>
      </c>
      <c r="DW39" s="55" t="str">
        <f t="shared" si="10"/>
        <v/>
      </c>
      <c r="DX39" s="55" t="str">
        <f t="shared" si="10"/>
        <v/>
      </c>
      <c r="DY39" s="55" t="str">
        <f t="shared" si="10"/>
        <v/>
      </c>
      <c r="DZ39" s="55" t="str">
        <f t="shared" si="10"/>
        <v/>
      </c>
      <c r="EA39" s="55" t="str">
        <f t="shared" si="10"/>
        <v/>
      </c>
      <c r="EB39" s="55" t="str">
        <f t="shared" si="10"/>
        <v/>
      </c>
      <c r="EC39" s="55" t="str">
        <f t="shared" si="10"/>
        <v/>
      </c>
      <c r="ED39" s="55" t="str">
        <f t="shared" si="10"/>
        <v/>
      </c>
      <c r="EE39" s="55" t="str">
        <f t="shared" si="10"/>
        <v/>
      </c>
      <c r="EF39" s="55" t="str">
        <f t="shared" ref="EF39:FU39" si="11">IF(EF41&lt;&gt;"",TEXT(EF41,"ddd"),"")</f>
        <v/>
      </c>
      <c r="EG39" s="55" t="str">
        <f t="shared" si="11"/>
        <v/>
      </c>
      <c r="EH39" s="55" t="str">
        <f t="shared" si="11"/>
        <v/>
      </c>
      <c r="EI39" s="55" t="str">
        <f t="shared" si="11"/>
        <v/>
      </c>
      <c r="EJ39" s="55" t="str">
        <f t="shared" si="11"/>
        <v/>
      </c>
      <c r="EK39" s="55" t="str">
        <f t="shared" si="11"/>
        <v/>
      </c>
      <c r="EL39" s="55" t="str">
        <f t="shared" si="11"/>
        <v/>
      </c>
      <c r="EM39" s="55" t="str">
        <f t="shared" si="11"/>
        <v/>
      </c>
      <c r="EN39" s="55" t="str">
        <f t="shared" si="11"/>
        <v/>
      </c>
      <c r="EO39" s="55" t="str">
        <f t="shared" si="11"/>
        <v/>
      </c>
      <c r="EP39" s="55" t="str">
        <f t="shared" si="11"/>
        <v/>
      </c>
      <c r="EQ39" s="55" t="str">
        <f t="shared" si="11"/>
        <v/>
      </c>
      <c r="ER39" s="55" t="str">
        <f t="shared" si="11"/>
        <v/>
      </c>
      <c r="ES39" s="55" t="str">
        <f t="shared" si="11"/>
        <v/>
      </c>
      <c r="ET39" s="55" t="str">
        <f t="shared" si="11"/>
        <v/>
      </c>
      <c r="EU39" s="55" t="str">
        <f t="shared" si="11"/>
        <v/>
      </c>
      <c r="EV39" s="55" t="str">
        <f t="shared" si="11"/>
        <v/>
      </c>
      <c r="EW39" s="55" t="str">
        <f t="shared" si="11"/>
        <v/>
      </c>
      <c r="EX39" s="55" t="str">
        <f t="shared" si="11"/>
        <v/>
      </c>
      <c r="EY39" s="55" t="str">
        <f t="shared" si="11"/>
        <v/>
      </c>
      <c r="EZ39" s="55" t="str">
        <f t="shared" si="11"/>
        <v/>
      </c>
      <c r="FA39" s="55" t="str">
        <f t="shared" si="11"/>
        <v/>
      </c>
      <c r="FB39" s="55" t="str">
        <f t="shared" si="11"/>
        <v/>
      </c>
      <c r="FC39" s="55" t="str">
        <f t="shared" si="11"/>
        <v/>
      </c>
      <c r="FD39" s="55" t="str">
        <f t="shared" si="11"/>
        <v/>
      </c>
      <c r="FE39" s="55" t="str">
        <f t="shared" si="11"/>
        <v/>
      </c>
      <c r="FF39" s="55" t="str">
        <f t="shared" si="11"/>
        <v/>
      </c>
      <c r="FG39" s="55" t="str">
        <f t="shared" si="11"/>
        <v/>
      </c>
      <c r="FH39" s="55" t="str">
        <f t="shared" si="11"/>
        <v/>
      </c>
      <c r="FI39" s="55" t="str">
        <f t="shared" si="11"/>
        <v/>
      </c>
      <c r="FJ39" s="55" t="str">
        <f t="shared" si="11"/>
        <v/>
      </c>
      <c r="FK39" s="55" t="str">
        <f t="shared" si="11"/>
        <v/>
      </c>
      <c r="FL39" s="55" t="str">
        <f t="shared" si="11"/>
        <v/>
      </c>
      <c r="FM39" s="55" t="str">
        <f t="shared" si="11"/>
        <v/>
      </c>
      <c r="FN39" s="55" t="str">
        <f t="shared" si="11"/>
        <v/>
      </c>
      <c r="FO39" s="55" t="str">
        <f t="shared" si="11"/>
        <v/>
      </c>
      <c r="FP39" s="55" t="str">
        <f t="shared" si="11"/>
        <v/>
      </c>
      <c r="FQ39" s="55" t="str">
        <f t="shared" si="11"/>
        <v/>
      </c>
      <c r="FR39" s="55" t="str">
        <f t="shared" si="11"/>
        <v/>
      </c>
      <c r="FS39" s="55" t="str">
        <f t="shared" si="11"/>
        <v/>
      </c>
      <c r="FT39" s="55" t="str">
        <f t="shared" si="11"/>
        <v/>
      </c>
      <c r="FU39" s="55" t="str">
        <f t="shared" si="11"/>
        <v/>
      </c>
    </row>
    <row r="40" spans="1:177">
      <c r="A40" s="6"/>
      <c r="B40" s="6"/>
      <c r="C40" s="6"/>
      <c r="D40" s="6"/>
      <c r="E40" s="6"/>
      <c r="F40" s="6"/>
      <c r="G40" s="54">
        <v>-5</v>
      </c>
      <c r="H40" s="54">
        <v>-4</v>
      </c>
      <c r="I40" s="54">
        <v>-3</v>
      </c>
      <c r="J40" s="54">
        <v>-2</v>
      </c>
      <c r="K40" s="54">
        <v>-1</v>
      </c>
      <c r="L40" s="54">
        <v>0</v>
      </c>
      <c r="M40" s="2">
        <v>1</v>
      </c>
      <c r="N40" s="54">
        <v>2</v>
      </c>
      <c r="O40" s="54">
        <v>3</v>
      </c>
      <c r="P40" s="54">
        <v>4</v>
      </c>
      <c r="Q40" s="54">
        <v>5</v>
      </c>
      <c r="R40" s="54">
        <v>6</v>
      </c>
      <c r="S40" s="54">
        <v>7</v>
      </c>
      <c r="T40" s="54">
        <v>8</v>
      </c>
      <c r="U40" s="54">
        <v>9</v>
      </c>
      <c r="V40" s="54">
        <v>10</v>
      </c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</row>
    <row r="41" spans="1:177" ht="66.75" customHeight="1">
      <c r="A41" s="78" t="s">
        <v>26</v>
      </c>
      <c r="B41" s="78" t="s">
        <v>27</v>
      </c>
      <c r="C41" s="78" t="s">
        <v>28</v>
      </c>
      <c r="D41" s="78" t="s">
        <v>29</v>
      </c>
      <c r="E41" s="78" t="s">
        <v>30</v>
      </c>
      <c r="F41" s="79" t="s">
        <v>31</v>
      </c>
      <c r="G41" s="39" t="e">
        <f>+H41-1</f>
        <v>#REF!</v>
      </c>
      <c r="H41" s="39" t="e">
        <f>+I41-1</f>
        <v>#REF!</v>
      </c>
      <c r="I41" s="39" t="e">
        <f>+J41-1</f>
        <v>#REF!</v>
      </c>
      <c r="J41" s="39" t="e">
        <f>+K41-1</f>
        <v>#REF!</v>
      </c>
      <c r="K41" s="39" t="e">
        <f>+L41-1</f>
        <v>#REF!</v>
      </c>
      <c r="L41" s="40" t="e">
        <f>B39</f>
        <v>#REF!</v>
      </c>
      <c r="M41" s="72" t="e">
        <f>+IF(M40&gt;0,$L$41+M40,"")</f>
        <v>#REF!</v>
      </c>
      <c r="N41" s="72" t="e">
        <f t="shared" ref="N41:BY41" si="12">+IF(N40&gt;0,$L$41+N40,"")</f>
        <v>#REF!</v>
      </c>
      <c r="O41" s="72" t="e">
        <f t="shared" si="12"/>
        <v>#REF!</v>
      </c>
      <c r="P41" s="72" t="e">
        <f t="shared" si="12"/>
        <v>#REF!</v>
      </c>
      <c r="Q41" s="72" t="e">
        <f t="shared" si="12"/>
        <v>#REF!</v>
      </c>
      <c r="R41" s="72" t="e">
        <f t="shared" si="12"/>
        <v>#REF!</v>
      </c>
      <c r="S41" s="72" t="e">
        <f t="shared" si="12"/>
        <v>#REF!</v>
      </c>
      <c r="T41" s="72" t="e">
        <f t="shared" si="12"/>
        <v>#REF!</v>
      </c>
      <c r="U41" s="72" t="e">
        <f t="shared" si="12"/>
        <v>#REF!</v>
      </c>
      <c r="V41" s="72" t="e">
        <f t="shared" si="12"/>
        <v>#REF!</v>
      </c>
      <c r="W41" t="str">
        <f t="shared" si="12"/>
        <v/>
      </c>
      <c r="X41" t="str">
        <f t="shared" si="12"/>
        <v/>
      </c>
      <c r="Y41" t="str">
        <f t="shared" si="12"/>
        <v/>
      </c>
      <c r="Z41" t="str">
        <f t="shared" si="12"/>
        <v/>
      </c>
      <c r="AA41" t="str">
        <f t="shared" si="12"/>
        <v/>
      </c>
      <c r="AB41" t="str">
        <f t="shared" si="12"/>
        <v/>
      </c>
      <c r="AC41" t="str">
        <f t="shared" si="12"/>
        <v/>
      </c>
      <c r="AD41" t="str">
        <f t="shared" si="12"/>
        <v/>
      </c>
      <c r="AE41" t="str">
        <f t="shared" si="12"/>
        <v/>
      </c>
      <c r="AF41" t="str">
        <f t="shared" si="12"/>
        <v/>
      </c>
      <c r="AG41" t="str">
        <f t="shared" si="12"/>
        <v/>
      </c>
      <c r="AH41" t="str">
        <f t="shared" si="12"/>
        <v/>
      </c>
      <c r="AI41" t="str">
        <f t="shared" si="12"/>
        <v/>
      </c>
      <c r="AJ41" t="str">
        <f t="shared" si="12"/>
        <v/>
      </c>
      <c r="AK41" t="str">
        <f t="shared" si="12"/>
        <v/>
      </c>
      <c r="AL41" t="str">
        <f t="shared" si="12"/>
        <v/>
      </c>
      <c r="AM41" t="str">
        <f t="shared" si="12"/>
        <v/>
      </c>
      <c r="AN41" t="str">
        <f t="shared" si="12"/>
        <v/>
      </c>
      <c r="AO41" t="str">
        <f t="shared" si="12"/>
        <v/>
      </c>
      <c r="AP41" t="str">
        <f t="shared" si="12"/>
        <v/>
      </c>
      <c r="AQ41" t="str">
        <f t="shared" si="12"/>
        <v/>
      </c>
      <c r="AR41" t="str">
        <f t="shared" si="12"/>
        <v/>
      </c>
      <c r="AS41" t="str">
        <f t="shared" si="12"/>
        <v/>
      </c>
      <c r="AT41" t="str">
        <f t="shared" si="12"/>
        <v/>
      </c>
      <c r="AU41" t="str">
        <f t="shared" si="12"/>
        <v/>
      </c>
      <c r="AV41" t="str">
        <f t="shared" si="12"/>
        <v/>
      </c>
      <c r="AW41" t="str">
        <f t="shared" si="12"/>
        <v/>
      </c>
      <c r="AX41" t="str">
        <f t="shared" si="12"/>
        <v/>
      </c>
      <c r="AY41" t="str">
        <f t="shared" si="12"/>
        <v/>
      </c>
      <c r="AZ41" t="str">
        <f t="shared" si="12"/>
        <v/>
      </c>
      <c r="BA41" t="str">
        <f t="shared" si="12"/>
        <v/>
      </c>
      <c r="BB41" t="str">
        <f t="shared" si="12"/>
        <v/>
      </c>
      <c r="BC41" t="str">
        <f t="shared" si="12"/>
        <v/>
      </c>
      <c r="BD41" t="str">
        <f t="shared" si="12"/>
        <v/>
      </c>
      <c r="BE41" t="str">
        <f t="shared" si="12"/>
        <v/>
      </c>
      <c r="BF41" t="str">
        <f t="shared" si="12"/>
        <v/>
      </c>
      <c r="BG41" t="str">
        <f t="shared" si="12"/>
        <v/>
      </c>
      <c r="BH41" t="str">
        <f t="shared" si="12"/>
        <v/>
      </c>
      <c r="BI41" t="str">
        <f t="shared" si="12"/>
        <v/>
      </c>
      <c r="BJ41" t="str">
        <f t="shared" si="12"/>
        <v/>
      </c>
      <c r="BK41" t="str">
        <f t="shared" si="12"/>
        <v/>
      </c>
      <c r="BL41" t="str">
        <f t="shared" si="12"/>
        <v/>
      </c>
      <c r="BM41" t="str">
        <f t="shared" si="12"/>
        <v/>
      </c>
      <c r="BN41" t="str">
        <f t="shared" si="12"/>
        <v/>
      </c>
      <c r="BO41" t="str">
        <f t="shared" si="12"/>
        <v/>
      </c>
      <c r="BP41" t="str">
        <f t="shared" si="12"/>
        <v/>
      </c>
      <c r="BQ41" t="str">
        <f t="shared" si="12"/>
        <v/>
      </c>
      <c r="BR41" t="str">
        <f t="shared" si="12"/>
        <v/>
      </c>
      <c r="BS41" t="str">
        <f t="shared" si="12"/>
        <v/>
      </c>
      <c r="BT41" t="str">
        <f t="shared" si="12"/>
        <v/>
      </c>
      <c r="BU41" t="str">
        <f t="shared" si="12"/>
        <v/>
      </c>
      <c r="BV41" t="str">
        <f t="shared" si="12"/>
        <v/>
      </c>
      <c r="BW41" t="str">
        <f t="shared" si="12"/>
        <v/>
      </c>
      <c r="BX41" t="str">
        <f t="shared" si="12"/>
        <v/>
      </c>
      <c r="BY41" t="str">
        <f t="shared" si="12"/>
        <v/>
      </c>
      <c r="BZ41" t="str">
        <f t="shared" ref="BZ41:EK41" si="13">+IF(BZ40&gt;0,$L$41+BZ40,"")</f>
        <v/>
      </c>
      <c r="CA41" t="str">
        <f t="shared" si="13"/>
        <v/>
      </c>
      <c r="CB41" t="str">
        <f t="shared" si="13"/>
        <v/>
      </c>
      <c r="CC41" t="str">
        <f t="shared" si="13"/>
        <v/>
      </c>
      <c r="CD41" t="str">
        <f t="shared" si="13"/>
        <v/>
      </c>
      <c r="CE41" t="str">
        <f t="shared" si="13"/>
        <v/>
      </c>
      <c r="CF41" t="str">
        <f t="shared" si="13"/>
        <v/>
      </c>
      <c r="CG41" t="str">
        <f t="shared" si="13"/>
        <v/>
      </c>
      <c r="CH41" t="str">
        <f t="shared" si="13"/>
        <v/>
      </c>
      <c r="CI41" t="str">
        <f t="shared" si="13"/>
        <v/>
      </c>
      <c r="CJ41" t="str">
        <f t="shared" si="13"/>
        <v/>
      </c>
      <c r="CK41" t="str">
        <f t="shared" si="13"/>
        <v/>
      </c>
      <c r="CL41" t="str">
        <f t="shared" si="13"/>
        <v/>
      </c>
      <c r="CM41" t="str">
        <f t="shared" si="13"/>
        <v/>
      </c>
      <c r="CN41" t="str">
        <f t="shared" si="13"/>
        <v/>
      </c>
      <c r="CO41" t="str">
        <f t="shared" si="13"/>
        <v/>
      </c>
      <c r="CP41" t="str">
        <f t="shared" si="13"/>
        <v/>
      </c>
      <c r="CQ41" t="str">
        <f t="shared" si="13"/>
        <v/>
      </c>
      <c r="CR41" t="str">
        <f t="shared" si="13"/>
        <v/>
      </c>
      <c r="CS41" t="str">
        <f t="shared" si="13"/>
        <v/>
      </c>
      <c r="CT41" t="str">
        <f t="shared" si="13"/>
        <v/>
      </c>
      <c r="CU41" t="str">
        <f t="shared" si="13"/>
        <v/>
      </c>
      <c r="CV41" t="str">
        <f t="shared" si="13"/>
        <v/>
      </c>
      <c r="CW41" t="str">
        <f t="shared" si="13"/>
        <v/>
      </c>
      <c r="CX41" t="str">
        <f t="shared" si="13"/>
        <v/>
      </c>
      <c r="CY41" t="str">
        <f t="shared" si="13"/>
        <v/>
      </c>
      <c r="CZ41" t="str">
        <f t="shared" si="13"/>
        <v/>
      </c>
      <c r="DA41" t="str">
        <f t="shared" si="13"/>
        <v/>
      </c>
      <c r="DB41" t="str">
        <f t="shared" si="13"/>
        <v/>
      </c>
      <c r="DC41" t="str">
        <f t="shared" si="13"/>
        <v/>
      </c>
      <c r="DD41" t="str">
        <f t="shared" si="13"/>
        <v/>
      </c>
      <c r="DE41" t="str">
        <f t="shared" si="13"/>
        <v/>
      </c>
      <c r="DF41" t="str">
        <f t="shared" si="13"/>
        <v/>
      </c>
      <c r="DG41" t="str">
        <f t="shared" si="13"/>
        <v/>
      </c>
      <c r="DH41" t="str">
        <f t="shared" si="13"/>
        <v/>
      </c>
      <c r="DI41" t="str">
        <f t="shared" si="13"/>
        <v/>
      </c>
      <c r="DJ41" t="str">
        <f t="shared" si="13"/>
        <v/>
      </c>
      <c r="DK41" t="str">
        <f t="shared" si="13"/>
        <v/>
      </c>
      <c r="DL41" t="str">
        <f t="shared" si="13"/>
        <v/>
      </c>
      <c r="DM41" t="str">
        <f t="shared" si="13"/>
        <v/>
      </c>
      <c r="DN41" t="str">
        <f t="shared" si="13"/>
        <v/>
      </c>
      <c r="DO41" t="str">
        <f t="shared" si="13"/>
        <v/>
      </c>
      <c r="DP41" t="str">
        <f t="shared" si="13"/>
        <v/>
      </c>
      <c r="DQ41" t="str">
        <f t="shared" si="13"/>
        <v/>
      </c>
      <c r="DR41" t="str">
        <f t="shared" si="13"/>
        <v/>
      </c>
      <c r="DS41" t="str">
        <f t="shared" si="13"/>
        <v/>
      </c>
      <c r="DT41" t="str">
        <f t="shared" si="13"/>
        <v/>
      </c>
      <c r="DU41" t="str">
        <f t="shared" si="13"/>
        <v/>
      </c>
      <c r="DV41" t="str">
        <f t="shared" si="13"/>
        <v/>
      </c>
      <c r="DW41" t="str">
        <f t="shared" si="13"/>
        <v/>
      </c>
      <c r="DX41" t="str">
        <f t="shared" si="13"/>
        <v/>
      </c>
      <c r="DY41" t="str">
        <f t="shared" si="13"/>
        <v/>
      </c>
      <c r="DZ41" t="str">
        <f t="shared" si="13"/>
        <v/>
      </c>
      <c r="EA41" t="str">
        <f t="shared" si="13"/>
        <v/>
      </c>
      <c r="EB41" t="str">
        <f t="shared" si="13"/>
        <v/>
      </c>
      <c r="EC41" t="str">
        <f t="shared" si="13"/>
        <v/>
      </c>
      <c r="ED41" t="str">
        <f t="shared" si="13"/>
        <v/>
      </c>
      <c r="EE41" t="str">
        <f t="shared" si="13"/>
        <v/>
      </c>
      <c r="EF41" t="str">
        <f t="shared" si="13"/>
        <v/>
      </c>
      <c r="EG41" t="str">
        <f t="shared" si="13"/>
        <v/>
      </c>
      <c r="EH41" t="str">
        <f t="shared" si="13"/>
        <v/>
      </c>
      <c r="EI41" t="str">
        <f t="shared" si="13"/>
        <v/>
      </c>
      <c r="EJ41" t="str">
        <f t="shared" si="13"/>
        <v/>
      </c>
      <c r="EK41" t="str">
        <f t="shared" si="13"/>
        <v/>
      </c>
      <c r="EL41" t="str">
        <f t="shared" ref="EL41:EW41" si="14">+IF(EL40&gt;0,$L$41+EL40,"")</f>
        <v/>
      </c>
      <c r="EM41" t="str">
        <f t="shared" si="14"/>
        <v/>
      </c>
      <c r="EN41" t="str">
        <f t="shared" si="14"/>
        <v/>
      </c>
      <c r="EO41" t="str">
        <f t="shared" si="14"/>
        <v/>
      </c>
      <c r="EP41" t="str">
        <f t="shared" si="14"/>
        <v/>
      </c>
      <c r="EQ41" t="str">
        <f t="shared" si="14"/>
        <v/>
      </c>
      <c r="ER41" t="str">
        <f t="shared" si="14"/>
        <v/>
      </c>
      <c r="ES41" t="str">
        <f t="shared" si="14"/>
        <v/>
      </c>
      <c r="ET41" t="str">
        <f t="shared" si="14"/>
        <v/>
      </c>
      <c r="EU41" t="str">
        <f t="shared" si="14"/>
        <v/>
      </c>
      <c r="EV41" t="str">
        <f t="shared" si="14"/>
        <v/>
      </c>
      <c r="EW41" t="str">
        <f t="shared" si="14"/>
        <v/>
      </c>
    </row>
    <row r="42" spans="1:177">
      <c r="A42" s="42" t="e">
        <f>+IF($B$37=#REF!,#REF!,"")</f>
        <v>#REF!</v>
      </c>
      <c r="B42" s="42" t="e">
        <f>+IF($B$37=#REF!,#REF!,"")</f>
        <v>#REF!</v>
      </c>
      <c r="C42" s="42" t="e">
        <f>+IF($B$37=#REF!,#REF!,"")</f>
        <v>#REF!</v>
      </c>
      <c r="D42" s="42" t="e">
        <f>+IF($B$37=#REF!,#REF!,"")</f>
        <v>#REF!</v>
      </c>
      <c r="E42" s="42" t="e">
        <f>+IF($B$37=#REF!,#REF!,"")</f>
        <v>#REF!</v>
      </c>
      <c r="F42" s="43" t="e">
        <f>+IF($B$37=#REF!,#REF!,"")</f>
        <v>#REF!</v>
      </c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</row>
    <row r="43" spans="1:177">
      <c r="A43" s="42" t="e">
        <f>+IF($B$37=#REF!,#REF!,"")</f>
        <v>#REF!</v>
      </c>
      <c r="B43" s="42" t="e">
        <f>+IF($B$37=#REF!,#REF!,"")</f>
        <v>#REF!</v>
      </c>
      <c r="C43" s="42" t="e">
        <f>+IF($B$37=#REF!,#REF!,"")</f>
        <v>#REF!</v>
      </c>
      <c r="D43" s="42" t="e">
        <f>+IF($B$37=#REF!,#REF!,"")</f>
        <v>#REF!</v>
      </c>
      <c r="E43" s="42" t="e">
        <f>+IF($B$37=#REF!,#REF!,"")</f>
        <v>#REF!</v>
      </c>
      <c r="F43" s="43" t="e">
        <f>+IF($B$37=#REF!,#REF!,"")</f>
        <v>#REF!</v>
      </c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</row>
    <row r="44" spans="1:177">
      <c r="A44" s="42" t="e">
        <f>+IF($B$37=#REF!,#REF!,"")</f>
        <v>#REF!</v>
      </c>
      <c r="B44" s="42" t="e">
        <f>+IF($B$37=#REF!,#REF!,"")</f>
        <v>#REF!</v>
      </c>
      <c r="C44" s="42" t="e">
        <f>+IF($B$37=#REF!,#REF!,"")</f>
        <v>#REF!</v>
      </c>
      <c r="D44" s="42" t="e">
        <f>+IF($B$37=#REF!,#REF!,"")</f>
        <v>#REF!</v>
      </c>
      <c r="E44" s="42" t="e">
        <f>+IF($B$37=#REF!,#REF!,"")</f>
        <v>#REF!</v>
      </c>
      <c r="F44" s="43" t="e">
        <f>+IF($B$37=#REF!,#REF!,"")</f>
        <v>#REF!</v>
      </c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</row>
    <row r="45" spans="1:177">
      <c r="A45" s="42" t="e">
        <f>+IF($B$37=#REF!,#REF!,"")</f>
        <v>#REF!</v>
      </c>
      <c r="B45" s="42" t="e">
        <f>+IF($B$37=#REF!,#REF!,"")</f>
        <v>#REF!</v>
      </c>
      <c r="C45" s="42" t="e">
        <f>+IF($B$37=#REF!,#REF!,"")</f>
        <v>#REF!</v>
      </c>
      <c r="D45" s="42" t="e">
        <f>+IF($B$37=#REF!,#REF!,"")</f>
        <v>#REF!</v>
      </c>
      <c r="E45" s="42" t="e">
        <f>+IF($B$37=#REF!,#REF!,"")</f>
        <v>#REF!</v>
      </c>
      <c r="F45" s="43" t="e">
        <f>+IF($B$37=#REF!,#REF!,"")</f>
        <v>#REF!</v>
      </c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</row>
    <row r="46" spans="1:177">
      <c r="A46" s="42" t="e">
        <f>+IF($B$37=#REF!,#REF!,"")</f>
        <v>#REF!</v>
      </c>
      <c r="B46" s="42" t="e">
        <f>+IF($B$37=#REF!,#REF!,"")</f>
        <v>#REF!</v>
      </c>
      <c r="C46" s="42" t="e">
        <f>+IF($B$37=#REF!,#REF!,"")</f>
        <v>#REF!</v>
      </c>
      <c r="D46" s="42" t="e">
        <f>+IF($B$37=#REF!,#REF!,"")</f>
        <v>#REF!</v>
      </c>
      <c r="E46" s="42" t="e">
        <f>+IF($B$37=#REF!,#REF!,"")</f>
        <v>#REF!</v>
      </c>
      <c r="F46" s="43" t="e">
        <f>+IF($B$37=#REF!,#REF!,"")</f>
        <v>#REF!</v>
      </c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</row>
    <row r="47" spans="1:177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</row>
    <row r="48" spans="1:177">
      <c r="A48" s="66" t="s">
        <v>32</v>
      </c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</row>
    <row r="49" spans="1:169">
      <c r="A49" s="275" t="s">
        <v>33</v>
      </c>
      <c r="B49" s="275"/>
      <c r="C49" s="275"/>
      <c r="D49" s="275"/>
      <c r="E49" s="275"/>
      <c r="F49" s="65" t="e">
        <f>+B39</f>
        <v>#REF!</v>
      </c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  <c r="DY49" s="63"/>
      <c r="DZ49" s="63"/>
      <c r="EA49" s="63"/>
      <c r="EB49" s="63"/>
      <c r="EC49" s="63"/>
      <c r="ED49" s="63"/>
      <c r="EE49" s="63"/>
      <c r="EF49" s="63"/>
      <c r="EG49" s="63"/>
      <c r="EH49" s="63"/>
      <c r="EI49" s="63"/>
      <c r="EJ49" s="63"/>
      <c r="EK49" s="63"/>
      <c r="EL49" s="63"/>
      <c r="EM49" s="63"/>
      <c r="EN49" s="63"/>
      <c r="EO49" s="63"/>
      <c r="EP49" s="63"/>
      <c r="EQ49" s="63"/>
      <c r="ER49" s="63"/>
      <c r="ES49" s="63"/>
      <c r="ET49" s="63"/>
      <c r="EU49" s="63"/>
      <c r="EV49" s="63"/>
      <c r="EW49" s="63"/>
      <c r="EX49" s="63"/>
      <c r="EY49" s="63"/>
      <c r="EZ49" s="63"/>
      <c r="FA49" s="63"/>
      <c r="FB49" s="63"/>
      <c r="FC49" s="63"/>
      <c r="FD49" s="63"/>
      <c r="FE49" s="63"/>
      <c r="FF49" s="63"/>
      <c r="FG49" s="63"/>
      <c r="FH49" s="63"/>
      <c r="FI49" s="63"/>
      <c r="FJ49" s="63"/>
      <c r="FK49" s="63"/>
      <c r="FL49" s="63"/>
      <c r="FM49" s="63"/>
    </row>
    <row r="54" spans="1:169">
      <c r="A54" s="66" t="s">
        <v>34</v>
      </c>
    </row>
    <row r="55" spans="1:169" ht="25.5">
      <c r="A55" s="41" t="s">
        <v>26</v>
      </c>
      <c r="B55" s="41" t="s">
        <v>27</v>
      </c>
      <c r="C55" s="41" t="s">
        <v>28</v>
      </c>
      <c r="D55" s="41" t="s">
        <v>29</v>
      </c>
      <c r="E55" s="41" t="s">
        <v>30</v>
      </c>
      <c r="F55" s="41" t="s">
        <v>31</v>
      </c>
    </row>
    <row r="56" spans="1:169">
      <c r="A56" s="70"/>
      <c r="B56" s="70"/>
      <c r="C56" s="70"/>
      <c r="D56" s="70"/>
      <c r="E56" s="70"/>
      <c r="F56" s="70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</row>
    <row r="57" spans="1:169">
      <c r="A57" s="70"/>
      <c r="B57" s="70"/>
      <c r="C57" s="70"/>
      <c r="D57" s="70"/>
      <c r="E57" s="70"/>
      <c r="F57" s="70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</row>
    <row r="58" spans="1:169">
      <c r="A58" s="70"/>
      <c r="B58" s="70"/>
      <c r="C58" s="70"/>
      <c r="D58" s="70"/>
      <c r="E58" s="70"/>
      <c r="F58" s="70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</row>
    <row r="59" spans="1:169">
      <c r="A59" s="70"/>
      <c r="B59" s="70"/>
      <c r="C59" s="70"/>
      <c r="D59" s="70"/>
      <c r="E59" s="70"/>
      <c r="F59" s="70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</row>
    <row r="60" spans="1:169">
      <c r="A60" s="70"/>
      <c r="B60" s="70"/>
      <c r="C60" s="70"/>
      <c r="D60" s="70"/>
      <c r="E60" s="70"/>
      <c r="F60" s="70"/>
      <c r="G60" s="64"/>
      <c r="H60" s="64"/>
      <c r="I60" s="64"/>
      <c r="J60" s="64"/>
      <c r="K60" s="64"/>
      <c r="L60" s="64"/>
    </row>
    <row r="61" spans="1:169">
      <c r="A61" s="70"/>
      <c r="B61" s="70"/>
      <c r="C61" s="70"/>
      <c r="D61" s="70"/>
      <c r="E61" s="70"/>
      <c r="F61" s="70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</row>
    <row r="62" spans="1:169">
      <c r="A62" s="70"/>
      <c r="B62" s="70"/>
      <c r="C62" s="70"/>
      <c r="D62" s="70"/>
      <c r="E62" s="70"/>
      <c r="F62" s="70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</row>
    <row r="63" spans="1:169">
      <c r="A63" s="70"/>
      <c r="B63" s="70"/>
      <c r="C63" s="70"/>
      <c r="D63" s="70"/>
      <c r="E63" s="70"/>
      <c r="F63" s="70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</row>
    <row r="64" spans="1:169">
      <c r="A64" s="11"/>
      <c r="B64" s="11"/>
      <c r="C64" s="11"/>
      <c r="D64" s="11"/>
      <c r="E64" s="11"/>
      <c r="F64" s="11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</row>
    <row r="67" spans="1:28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</row>
    <row r="68" spans="1:28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</row>
    <row r="69" spans="1:283">
      <c r="A69" s="276" t="s">
        <v>35</v>
      </c>
      <c r="B69" s="276"/>
      <c r="C69" s="6"/>
      <c r="D69" s="6"/>
      <c r="E69" s="6"/>
      <c r="F69" s="6"/>
      <c r="G69" s="6"/>
      <c r="H69" s="6">
        <f>+DAY(1)</f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</row>
    <row r="70" spans="1:283">
      <c r="A70" s="44" t="s">
        <v>13</v>
      </c>
      <c r="B70" s="42" t="e">
        <f>+#REF!</f>
        <v>#REF!</v>
      </c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</row>
    <row r="71" spans="1:283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</row>
    <row r="72" spans="1:283">
      <c r="A72" s="45" t="s">
        <v>23</v>
      </c>
      <c r="B72" s="46">
        <v>1</v>
      </c>
      <c r="C72" s="6"/>
      <c r="D72" s="6"/>
      <c r="E72" s="6"/>
      <c r="F72" s="60"/>
      <c r="G72" s="60"/>
      <c r="H72" s="60"/>
      <c r="I72" s="60"/>
      <c r="J72" s="60"/>
      <c r="K72" s="60"/>
      <c r="L72" s="60"/>
    </row>
    <row r="73" spans="1:283" ht="38.25">
      <c r="A73" s="57" t="s">
        <v>24</v>
      </c>
      <c r="B73" s="58" t="e">
        <f>+COUNTIF(#REF!,1)</f>
        <v>#REF!</v>
      </c>
      <c r="C73" s="6"/>
      <c r="D73" s="6"/>
      <c r="E73" s="6"/>
      <c r="F73" s="59" t="s">
        <v>36</v>
      </c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</row>
    <row r="74" spans="1:283">
      <c r="A74" s="45" t="s">
        <v>10</v>
      </c>
      <c r="B74" s="62" t="e">
        <f>+IF(#REF!&lt;&gt;"",#REF!,"")</f>
        <v>#REF!</v>
      </c>
      <c r="C74" s="6"/>
      <c r="D74" s="6"/>
      <c r="E74" s="6"/>
      <c r="F74" s="60"/>
      <c r="G74" s="55" t="e">
        <f>IF(G76&lt;&gt;"",TEXT(G76,"ddd"),"")</f>
        <v>#REF!</v>
      </c>
      <c r="H74" s="55" t="e">
        <f t="shared" ref="H74:BS74" si="15">IF(H76&lt;&gt;"",TEXT(H76,"ddd"),"")</f>
        <v>#REF!</v>
      </c>
      <c r="I74" s="55" t="e">
        <f t="shared" si="15"/>
        <v>#REF!</v>
      </c>
      <c r="J74" s="55" t="e">
        <f t="shared" si="15"/>
        <v>#REF!</v>
      </c>
      <c r="K74" s="55" t="e">
        <f t="shared" si="15"/>
        <v>#REF!</v>
      </c>
      <c r="L74" s="55" t="e">
        <f t="shared" si="15"/>
        <v>#REF!</v>
      </c>
      <c r="M74" s="55" t="str">
        <f t="shared" si="15"/>
        <v/>
      </c>
      <c r="N74" s="55" t="str">
        <f t="shared" si="15"/>
        <v/>
      </c>
      <c r="O74" s="55" t="str">
        <f t="shared" si="15"/>
        <v/>
      </c>
      <c r="P74" s="55" t="str">
        <f t="shared" si="15"/>
        <v/>
      </c>
      <c r="Q74" s="55" t="str">
        <f t="shared" si="15"/>
        <v/>
      </c>
      <c r="R74" s="55" t="str">
        <f t="shared" si="15"/>
        <v/>
      </c>
      <c r="S74" s="55" t="str">
        <f t="shared" si="15"/>
        <v/>
      </c>
      <c r="T74" s="55" t="str">
        <f t="shared" si="15"/>
        <v/>
      </c>
      <c r="U74" s="55" t="str">
        <f t="shared" si="15"/>
        <v/>
      </c>
      <c r="V74" s="55" t="str">
        <f t="shared" si="15"/>
        <v/>
      </c>
      <c r="W74" s="55" t="str">
        <f t="shared" si="15"/>
        <v/>
      </c>
      <c r="X74" s="55" t="str">
        <f t="shared" si="15"/>
        <v/>
      </c>
      <c r="Y74" s="55" t="str">
        <f t="shared" si="15"/>
        <v/>
      </c>
      <c r="Z74" s="55" t="str">
        <f t="shared" si="15"/>
        <v/>
      </c>
      <c r="AA74" s="55" t="str">
        <f t="shared" si="15"/>
        <v/>
      </c>
      <c r="AB74" s="55" t="str">
        <f t="shared" si="15"/>
        <v/>
      </c>
      <c r="AC74" s="55" t="str">
        <f t="shared" si="15"/>
        <v/>
      </c>
      <c r="AD74" s="55" t="str">
        <f t="shared" si="15"/>
        <v/>
      </c>
      <c r="AE74" s="55" t="str">
        <f t="shared" si="15"/>
        <v/>
      </c>
      <c r="AF74" s="55" t="str">
        <f t="shared" si="15"/>
        <v/>
      </c>
      <c r="AG74" s="55" t="str">
        <f t="shared" si="15"/>
        <v/>
      </c>
      <c r="AH74" s="55" t="str">
        <f t="shared" si="15"/>
        <v/>
      </c>
      <c r="AI74" s="55" t="str">
        <f t="shared" si="15"/>
        <v/>
      </c>
      <c r="AJ74" s="55" t="str">
        <f t="shared" si="15"/>
        <v/>
      </c>
      <c r="AK74" s="55" t="str">
        <f t="shared" si="15"/>
        <v/>
      </c>
      <c r="AL74" s="55" t="str">
        <f t="shared" si="15"/>
        <v/>
      </c>
      <c r="AM74" s="55" t="str">
        <f t="shared" si="15"/>
        <v/>
      </c>
      <c r="AN74" s="55" t="str">
        <f t="shared" si="15"/>
        <v/>
      </c>
      <c r="AO74" s="55" t="str">
        <f t="shared" si="15"/>
        <v/>
      </c>
      <c r="AP74" s="55" t="str">
        <f t="shared" si="15"/>
        <v/>
      </c>
      <c r="AQ74" s="55" t="str">
        <f t="shared" si="15"/>
        <v/>
      </c>
      <c r="AR74" s="55" t="str">
        <f t="shared" si="15"/>
        <v/>
      </c>
      <c r="AS74" s="55" t="str">
        <f t="shared" si="15"/>
        <v/>
      </c>
      <c r="AT74" s="55" t="str">
        <f t="shared" si="15"/>
        <v/>
      </c>
      <c r="AU74" s="55" t="str">
        <f t="shared" si="15"/>
        <v/>
      </c>
      <c r="AV74" s="55" t="str">
        <f t="shared" si="15"/>
        <v/>
      </c>
      <c r="AW74" s="55" t="str">
        <f t="shared" si="15"/>
        <v/>
      </c>
      <c r="AX74" s="55" t="str">
        <f t="shared" si="15"/>
        <v/>
      </c>
      <c r="AY74" s="55" t="str">
        <f t="shared" si="15"/>
        <v/>
      </c>
      <c r="AZ74" s="55" t="str">
        <f t="shared" si="15"/>
        <v/>
      </c>
      <c r="BA74" s="55" t="str">
        <f t="shared" si="15"/>
        <v/>
      </c>
      <c r="BB74" s="55" t="str">
        <f t="shared" si="15"/>
        <v/>
      </c>
      <c r="BC74" s="55" t="str">
        <f t="shared" si="15"/>
        <v/>
      </c>
      <c r="BD74" s="55" t="str">
        <f t="shared" si="15"/>
        <v/>
      </c>
      <c r="BE74" s="55" t="str">
        <f t="shared" si="15"/>
        <v/>
      </c>
      <c r="BF74" s="55" t="str">
        <f t="shared" si="15"/>
        <v/>
      </c>
      <c r="BG74" s="55" t="str">
        <f t="shared" si="15"/>
        <v/>
      </c>
      <c r="BH74" s="55" t="str">
        <f t="shared" si="15"/>
        <v/>
      </c>
      <c r="BI74" s="55" t="str">
        <f t="shared" si="15"/>
        <v/>
      </c>
      <c r="BJ74" s="55" t="str">
        <f t="shared" si="15"/>
        <v/>
      </c>
      <c r="BK74" s="55" t="str">
        <f t="shared" si="15"/>
        <v/>
      </c>
      <c r="BL74" s="55" t="str">
        <f t="shared" si="15"/>
        <v/>
      </c>
      <c r="BM74" s="55" t="str">
        <f t="shared" si="15"/>
        <v/>
      </c>
      <c r="BN74" s="55" t="str">
        <f t="shared" si="15"/>
        <v/>
      </c>
      <c r="BO74" s="55" t="str">
        <f t="shared" si="15"/>
        <v/>
      </c>
      <c r="BP74" s="55" t="str">
        <f t="shared" si="15"/>
        <v/>
      </c>
      <c r="BQ74" s="55" t="str">
        <f t="shared" si="15"/>
        <v/>
      </c>
      <c r="BR74" s="55" t="str">
        <f t="shared" si="15"/>
        <v/>
      </c>
      <c r="BS74" s="55" t="str">
        <f t="shared" si="15"/>
        <v/>
      </c>
      <c r="BT74" s="55" t="str">
        <f t="shared" ref="BT74:EE74" si="16">IF(BT76&lt;&gt;"",TEXT(BT76,"ddd"),"")</f>
        <v/>
      </c>
      <c r="BU74" s="55" t="str">
        <f t="shared" si="16"/>
        <v/>
      </c>
      <c r="BV74" s="55" t="str">
        <f t="shared" si="16"/>
        <v/>
      </c>
      <c r="BW74" s="55" t="str">
        <f t="shared" si="16"/>
        <v/>
      </c>
      <c r="BX74" s="55" t="str">
        <f t="shared" si="16"/>
        <v/>
      </c>
      <c r="BY74" s="55" t="str">
        <f t="shared" si="16"/>
        <v/>
      </c>
      <c r="BZ74" s="55" t="str">
        <f t="shared" si="16"/>
        <v/>
      </c>
      <c r="CA74" s="55" t="str">
        <f t="shared" si="16"/>
        <v/>
      </c>
      <c r="CB74" s="55" t="str">
        <f t="shared" si="16"/>
        <v/>
      </c>
      <c r="CC74" s="55" t="str">
        <f t="shared" si="16"/>
        <v/>
      </c>
      <c r="CD74" s="55" t="str">
        <f t="shared" si="16"/>
        <v/>
      </c>
      <c r="CE74" s="55" t="str">
        <f t="shared" si="16"/>
        <v/>
      </c>
      <c r="CF74" s="55" t="str">
        <f t="shared" si="16"/>
        <v/>
      </c>
      <c r="CG74" s="55" t="str">
        <f t="shared" si="16"/>
        <v/>
      </c>
      <c r="CH74" s="55" t="str">
        <f t="shared" si="16"/>
        <v/>
      </c>
      <c r="CI74" s="55" t="str">
        <f t="shared" si="16"/>
        <v/>
      </c>
      <c r="CJ74" s="55" t="str">
        <f t="shared" si="16"/>
        <v/>
      </c>
      <c r="CK74" s="55" t="str">
        <f t="shared" si="16"/>
        <v/>
      </c>
      <c r="CL74" s="55" t="str">
        <f t="shared" si="16"/>
        <v/>
      </c>
      <c r="CM74" s="55" t="str">
        <f t="shared" si="16"/>
        <v/>
      </c>
      <c r="CN74" s="55" t="str">
        <f t="shared" si="16"/>
        <v/>
      </c>
      <c r="CO74" s="55" t="str">
        <f t="shared" si="16"/>
        <v/>
      </c>
      <c r="CP74" s="55" t="str">
        <f t="shared" si="16"/>
        <v/>
      </c>
      <c r="CQ74" s="55" t="str">
        <f t="shared" si="16"/>
        <v/>
      </c>
      <c r="CR74" s="55" t="str">
        <f t="shared" si="16"/>
        <v/>
      </c>
      <c r="CS74" s="55" t="str">
        <f t="shared" si="16"/>
        <v/>
      </c>
      <c r="CT74" s="55" t="str">
        <f t="shared" si="16"/>
        <v/>
      </c>
      <c r="CU74" s="55" t="str">
        <f t="shared" si="16"/>
        <v/>
      </c>
      <c r="CV74" s="55" t="str">
        <f t="shared" si="16"/>
        <v/>
      </c>
      <c r="CW74" s="55" t="str">
        <f t="shared" si="16"/>
        <v/>
      </c>
      <c r="CX74" s="55" t="str">
        <f t="shared" si="16"/>
        <v/>
      </c>
      <c r="CY74" s="55" t="str">
        <f t="shared" si="16"/>
        <v/>
      </c>
      <c r="CZ74" s="55" t="str">
        <f t="shared" si="16"/>
        <v/>
      </c>
      <c r="DA74" s="55" t="str">
        <f t="shared" si="16"/>
        <v/>
      </c>
      <c r="DB74" s="55" t="str">
        <f t="shared" si="16"/>
        <v/>
      </c>
      <c r="DC74" s="55" t="str">
        <f t="shared" si="16"/>
        <v/>
      </c>
      <c r="DD74" s="55" t="str">
        <f t="shared" si="16"/>
        <v/>
      </c>
      <c r="DE74" s="55" t="str">
        <f t="shared" si="16"/>
        <v/>
      </c>
      <c r="DF74" s="55" t="str">
        <f t="shared" si="16"/>
        <v/>
      </c>
      <c r="DG74" s="55" t="str">
        <f t="shared" si="16"/>
        <v/>
      </c>
      <c r="DH74" s="55" t="str">
        <f t="shared" si="16"/>
        <v/>
      </c>
      <c r="DI74" s="55" t="str">
        <f t="shared" si="16"/>
        <v/>
      </c>
      <c r="DJ74" s="55" t="str">
        <f t="shared" si="16"/>
        <v/>
      </c>
      <c r="DK74" s="55" t="str">
        <f t="shared" si="16"/>
        <v/>
      </c>
      <c r="DL74" s="55" t="str">
        <f t="shared" si="16"/>
        <v/>
      </c>
      <c r="DM74" s="55" t="str">
        <f t="shared" si="16"/>
        <v/>
      </c>
      <c r="DN74" s="55" t="str">
        <f t="shared" si="16"/>
        <v/>
      </c>
      <c r="DO74" s="55" t="str">
        <f t="shared" si="16"/>
        <v/>
      </c>
      <c r="DP74" s="55" t="str">
        <f t="shared" si="16"/>
        <v/>
      </c>
      <c r="DQ74" s="55" t="str">
        <f t="shared" si="16"/>
        <v/>
      </c>
      <c r="DR74" s="55" t="str">
        <f t="shared" si="16"/>
        <v/>
      </c>
      <c r="DS74" s="55" t="str">
        <f t="shared" si="16"/>
        <v/>
      </c>
      <c r="DT74" s="55" t="str">
        <f t="shared" si="16"/>
        <v/>
      </c>
      <c r="DU74" s="55" t="str">
        <f t="shared" si="16"/>
        <v/>
      </c>
      <c r="DV74" s="55" t="str">
        <f t="shared" si="16"/>
        <v/>
      </c>
      <c r="DW74" s="55" t="str">
        <f t="shared" si="16"/>
        <v/>
      </c>
      <c r="DX74" s="55" t="str">
        <f t="shared" si="16"/>
        <v/>
      </c>
      <c r="DY74" s="55" t="str">
        <f t="shared" si="16"/>
        <v/>
      </c>
      <c r="DZ74" s="55" t="str">
        <f t="shared" si="16"/>
        <v/>
      </c>
      <c r="EA74" s="55" t="str">
        <f t="shared" si="16"/>
        <v/>
      </c>
      <c r="EB74" s="55" t="str">
        <f t="shared" si="16"/>
        <v/>
      </c>
      <c r="EC74" s="55" t="str">
        <f t="shared" si="16"/>
        <v/>
      </c>
      <c r="ED74" s="55" t="str">
        <f t="shared" si="16"/>
        <v/>
      </c>
      <c r="EE74" s="55" t="str">
        <f t="shared" si="16"/>
        <v/>
      </c>
      <c r="EF74" s="55" t="str">
        <f t="shared" ref="EF74:GQ74" si="17">IF(EF76&lt;&gt;"",TEXT(EF76,"ddd"),"")</f>
        <v/>
      </c>
      <c r="EG74" s="55" t="str">
        <f t="shared" si="17"/>
        <v/>
      </c>
      <c r="EH74" s="55" t="str">
        <f t="shared" si="17"/>
        <v/>
      </c>
      <c r="EI74" s="55" t="str">
        <f t="shared" si="17"/>
        <v/>
      </c>
      <c r="EJ74" s="55" t="str">
        <f t="shared" si="17"/>
        <v/>
      </c>
      <c r="EK74" s="55" t="str">
        <f t="shared" si="17"/>
        <v/>
      </c>
      <c r="EL74" s="55" t="str">
        <f t="shared" si="17"/>
        <v/>
      </c>
      <c r="EM74" s="55" t="str">
        <f t="shared" si="17"/>
        <v/>
      </c>
      <c r="EN74" s="55" t="str">
        <f t="shared" si="17"/>
        <v/>
      </c>
      <c r="EO74" s="55" t="str">
        <f t="shared" si="17"/>
        <v/>
      </c>
      <c r="EP74" s="55" t="str">
        <f t="shared" si="17"/>
        <v/>
      </c>
      <c r="EQ74" s="55" t="str">
        <f t="shared" si="17"/>
        <v/>
      </c>
      <c r="ER74" s="55" t="str">
        <f t="shared" si="17"/>
        <v/>
      </c>
      <c r="ES74" s="55" t="str">
        <f t="shared" si="17"/>
        <v/>
      </c>
      <c r="ET74" s="55" t="str">
        <f t="shared" si="17"/>
        <v/>
      </c>
      <c r="EU74" s="55" t="str">
        <f t="shared" si="17"/>
        <v/>
      </c>
      <c r="EV74" s="55" t="str">
        <f t="shared" si="17"/>
        <v/>
      </c>
      <c r="EW74" s="55" t="str">
        <f t="shared" si="17"/>
        <v/>
      </c>
      <c r="EX74" s="55" t="str">
        <f t="shared" si="17"/>
        <v/>
      </c>
      <c r="EY74" s="55" t="str">
        <f t="shared" si="17"/>
        <v/>
      </c>
      <c r="EZ74" s="55" t="str">
        <f t="shared" si="17"/>
        <v/>
      </c>
      <c r="FA74" s="55" t="str">
        <f t="shared" si="17"/>
        <v/>
      </c>
      <c r="FB74" s="55" t="str">
        <f t="shared" si="17"/>
        <v/>
      </c>
      <c r="FC74" s="55" t="str">
        <f t="shared" si="17"/>
        <v/>
      </c>
      <c r="FD74" s="55" t="str">
        <f t="shared" si="17"/>
        <v/>
      </c>
      <c r="FE74" s="55" t="str">
        <f t="shared" si="17"/>
        <v/>
      </c>
      <c r="FF74" s="55" t="str">
        <f t="shared" si="17"/>
        <v/>
      </c>
      <c r="FG74" s="55" t="str">
        <f t="shared" si="17"/>
        <v/>
      </c>
      <c r="FH74" s="55" t="str">
        <f t="shared" si="17"/>
        <v/>
      </c>
      <c r="FI74" s="55" t="str">
        <f t="shared" si="17"/>
        <v/>
      </c>
      <c r="FJ74" s="55" t="str">
        <f t="shared" si="17"/>
        <v/>
      </c>
      <c r="FK74" s="55" t="str">
        <f t="shared" si="17"/>
        <v/>
      </c>
      <c r="FL74" s="55" t="str">
        <f t="shared" si="17"/>
        <v/>
      </c>
      <c r="FM74" s="55" t="str">
        <f t="shared" si="17"/>
        <v/>
      </c>
      <c r="FN74" s="55" t="str">
        <f t="shared" si="17"/>
        <v/>
      </c>
      <c r="FO74" s="55" t="str">
        <f t="shared" si="17"/>
        <v/>
      </c>
      <c r="FP74" s="55" t="str">
        <f t="shared" si="17"/>
        <v/>
      </c>
      <c r="FQ74" s="55" t="str">
        <f t="shared" si="17"/>
        <v/>
      </c>
      <c r="FR74" s="55" t="str">
        <f t="shared" si="17"/>
        <v/>
      </c>
      <c r="FS74" s="55" t="str">
        <f t="shared" si="17"/>
        <v/>
      </c>
      <c r="FT74" s="55" t="str">
        <f t="shared" si="17"/>
        <v/>
      </c>
      <c r="FU74" s="55" t="str">
        <f t="shared" si="17"/>
        <v/>
      </c>
      <c r="FV74" s="55" t="str">
        <f t="shared" si="17"/>
        <v/>
      </c>
      <c r="FW74" s="55" t="str">
        <f t="shared" si="17"/>
        <v/>
      </c>
      <c r="FX74" s="55" t="str">
        <f t="shared" si="17"/>
        <v/>
      </c>
      <c r="FY74" s="55" t="str">
        <f t="shared" si="17"/>
        <v/>
      </c>
      <c r="FZ74" s="55" t="str">
        <f t="shared" si="17"/>
        <v/>
      </c>
      <c r="GA74" s="55" t="str">
        <f t="shared" si="17"/>
        <v/>
      </c>
      <c r="GB74" s="55" t="str">
        <f t="shared" si="17"/>
        <v/>
      </c>
      <c r="GC74" s="55" t="str">
        <f t="shared" si="17"/>
        <v/>
      </c>
      <c r="GD74" s="55" t="str">
        <f t="shared" si="17"/>
        <v/>
      </c>
      <c r="GE74" s="55" t="str">
        <f t="shared" si="17"/>
        <v/>
      </c>
      <c r="GF74" s="55" t="str">
        <f t="shared" si="17"/>
        <v/>
      </c>
      <c r="GG74" s="55" t="str">
        <f t="shared" si="17"/>
        <v/>
      </c>
      <c r="GH74" s="55" t="str">
        <f t="shared" si="17"/>
        <v/>
      </c>
      <c r="GI74" s="55" t="str">
        <f t="shared" si="17"/>
        <v/>
      </c>
      <c r="GJ74" s="55" t="str">
        <f t="shared" si="17"/>
        <v/>
      </c>
      <c r="GK74" s="55" t="str">
        <f t="shared" si="17"/>
        <v/>
      </c>
      <c r="GL74" s="55" t="str">
        <f t="shared" si="17"/>
        <v/>
      </c>
      <c r="GM74" s="55" t="str">
        <f t="shared" si="17"/>
        <v/>
      </c>
      <c r="GN74" s="55" t="str">
        <f t="shared" si="17"/>
        <v/>
      </c>
      <c r="GO74" s="55" t="str">
        <f t="shared" si="17"/>
        <v/>
      </c>
      <c r="GP74" s="55" t="str">
        <f t="shared" si="17"/>
        <v/>
      </c>
      <c r="GQ74" s="55" t="str">
        <f t="shared" si="17"/>
        <v/>
      </c>
      <c r="GR74" s="55" t="str">
        <f t="shared" ref="GR74:JC74" si="18">IF(GR76&lt;&gt;"",TEXT(GR76,"ddd"),"")</f>
        <v/>
      </c>
      <c r="GS74" s="55" t="str">
        <f t="shared" si="18"/>
        <v/>
      </c>
      <c r="GT74" s="55" t="str">
        <f t="shared" si="18"/>
        <v/>
      </c>
      <c r="GU74" s="55" t="str">
        <f t="shared" si="18"/>
        <v/>
      </c>
      <c r="GV74" s="55" t="str">
        <f t="shared" si="18"/>
        <v/>
      </c>
      <c r="GW74" s="55" t="str">
        <f t="shared" si="18"/>
        <v/>
      </c>
      <c r="GX74" s="55" t="str">
        <f t="shared" si="18"/>
        <v/>
      </c>
      <c r="GY74" s="55" t="str">
        <f t="shared" si="18"/>
        <v/>
      </c>
      <c r="GZ74" s="55" t="str">
        <f t="shared" si="18"/>
        <v/>
      </c>
      <c r="HA74" s="55" t="str">
        <f t="shared" si="18"/>
        <v/>
      </c>
      <c r="HB74" s="55" t="str">
        <f t="shared" si="18"/>
        <v/>
      </c>
      <c r="HC74" s="55" t="str">
        <f t="shared" si="18"/>
        <v/>
      </c>
      <c r="HD74" s="55" t="str">
        <f t="shared" si="18"/>
        <v/>
      </c>
      <c r="HE74" s="55" t="str">
        <f t="shared" si="18"/>
        <v/>
      </c>
      <c r="HF74" s="55" t="str">
        <f t="shared" si="18"/>
        <v/>
      </c>
      <c r="HG74" s="55" t="str">
        <f t="shared" si="18"/>
        <v/>
      </c>
      <c r="HH74" s="55" t="str">
        <f t="shared" si="18"/>
        <v/>
      </c>
      <c r="HI74" s="55" t="str">
        <f t="shared" si="18"/>
        <v/>
      </c>
      <c r="HJ74" s="55" t="str">
        <f t="shared" si="18"/>
        <v/>
      </c>
      <c r="HK74" s="55" t="str">
        <f t="shared" si="18"/>
        <v/>
      </c>
      <c r="HL74" s="55" t="str">
        <f t="shared" si="18"/>
        <v/>
      </c>
      <c r="HM74" s="55" t="str">
        <f t="shared" si="18"/>
        <v/>
      </c>
      <c r="HN74" s="55" t="str">
        <f t="shared" si="18"/>
        <v/>
      </c>
      <c r="HO74" s="55" t="str">
        <f t="shared" si="18"/>
        <v/>
      </c>
      <c r="HP74" s="55" t="str">
        <f t="shared" si="18"/>
        <v/>
      </c>
      <c r="HQ74" s="55" t="str">
        <f t="shared" si="18"/>
        <v/>
      </c>
      <c r="HR74" s="55" t="str">
        <f t="shared" si="18"/>
        <v/>
      </c>
      <c r="HS74" s="55" t="str">
        <f t="shared" si="18"/>
        <v/>
      </c>
      <c r="HT74" s="55" t="str">
        <f t="shared" si="18"/>
        <v/>
      </c>
      <c r="HU74" s="55" t="str">
        <f t="shared" si="18"/>
        <v/>
      </c>
      <c r="HV74" s="55" t="str">
        <f t="shared" si="18"/>
        <v/>
      </c>
      <c r="HW74" s="55" t="str">
        <f t="shared" si="18"/>
        <v/>
      </c>
      <c r="HX74" s="55" t="str">
        <f t="shared" si="18"/>
        <v/>
      </c>
      <c r="HY74" s="55" t="str">
        <f t="shared" si="18"/>
        <v/>
      </c>
      <c r="HZ74" s="55" t="str">
        <f t="shared" si="18"/>
        <v/>
      </c>
      <c r="IA74" s="55" t="str">
        <f t="shared" si="18"/>
        <v/>
      </c>
      <c r="IB74" s="55" t="str">
        <f t="shared" si="18"/>
        <v/>
      </c>
      <c r="IC74" s="55" t="str">
        <f t="shared" si="18"/>
        <v/>
      </c>
      <c r="ID74" s="55" t="str">
        <f t="shared" si="18"/>
        <v/>
      </c>
      <c r="IE74" s="55" t="str">
        <f t="shared" si="18"/>
        <v/>
      </c>
      <c r="IF74" s="55" t="str">
        <f t="shared" si="18"/>
        <v/>
      </c>
      <c r="IG74" s="55" t="str">
        <f t="shared" si="18"/>
        <v/>
      </c>
      <c r="IH74" s="55" t="str">
        <f t="shared" si="18"/>
        <v/>
      </c>
      <c r="II74" s="55" t="str">
        <f t="shared" si="18"/>
        <v/>
      </c>
      <c r="IJ74" s="55" t="str">
        <f t="shared" si="18"/>
        <v/>
      </c>
      <c r="IK74" s="55" t="str">
        <f t="shared" si="18"/>
        <v/>
      </c>
      <c r="IL74" s="55" t="str">
        <f t="shared" si="18"/>
        <v/>
      </c>
      <c r="IM74" s="55" t="str">
        <f t="shared" si="18"/>
        <v/>
      </c>
      <c r="IN74" s="55" t="str">
        <f t="shared" si="18"/>
        <v/>
      </c>
      <c r="IO74" s="55" t="str">
        <f t="shared" si="18"/>
        <v/>
      </c>
      <c r="IP74" s="55" t="str">
        <f t="shared" si="18"/>
        <v/>
      </c>
      <c r="IQ74" s="55" t="str">
        <f t="shared" si="18"/>
        <v/>
      </c>
      <c r="IR74" s="55" t="str">
        <f t="shared" si="18"/>
        <v/>
      </c>
      <c r="IS74" s="55" t="str">
        <f t="shared" si="18"/>
        <v/>
      </c>
      <c r="IT74" s="55" t="str">
        <f t="shared" si="18"/>
        <v/>
      </c>
      <c r="IU74" s="55" t="str">
        <f t="shared" si="18"/>
        <v/>
      </c>
      <c r="IV74" s="55" t="str">
        <f t="shared" si="18"/>
        <v/>
      </c>
      <c r="IW74" s="55" t="str">
        <f t="shared" si="18"/>
        <v/>
      </c>
      <c r="IX74" s="55" t="str">
        <f t="shared" si="18"/>
        <v/>
      </c>
      <c r="IY74" s="55" t="str">
        <f t="shared" si="18"/>
        <v/>
      </c>
      <c r="IZ74" s="55" t="str">
        <f t="shared" si="18"/>
        <v/>
      </c>
      <c r="JA74" s="55" t="str">
        <f t="shared" si="18"/>
        <v/>
      </c>
      <c r="JB74" s="55" t="str">
        <f t="shared" si="18"/>
        <v/>
      </c>
      <c r="JC74" s="55" t="str">
        <f t="shared" si="18"/>
        <v/>
      </c>
      <c r="JD74" s="55" t="str">
        <f t="shared" ref="JD74:JW74" si="19">IF(JD76&lt;&gt;"",TEXT(JD76,"ddd"),"")</f>
        <v/>
      </c>
      <c r="JE74" s="55" t="str">
        <f t="shared" si="19"/>
        <v/>
      </c>
      <c r="JF74" s="55" t="str">
        <f t="shared" si="19"/>
        <v/>
      </c>
      <c r="JG74" s="55" t="str">
        <f t="shared" si="19"/>
        <v/>
      </c>
      <c r="JH74" s="55" t="str">
        <f t="shared" si="19"/>
        <v/>
      </c>
      <c r="JI74" s="55" t="str">
        <f t="shared" si="19"/>
        <v/>
      </c>
      <c r="JJ74" s="55" t="str">
        <f t="shared" si="19"/>
        <v/>
      </c>
      <c r="JK74" s="55" t="str">
        <f t="shared" si="19"/>
        <v/>
      </c>
      <c r="JL74" s="55" t="str">
        <f t="shared" si="19"/>
        <v/>
      </c>
      <c r="JM74" s="55" t="str">
        <f t="shared" si="19"/>
        <v/>
      </c>
      <c r="JN74" s="55" t="str">
        <f t="shared" si="19"/>
        <v/>
      </c>
      <c r="JO74" s="55" t="str">
        <f t="shared" si="19"/>
        <v/>
      </c>
      <c r="JP74" s="55" t="str">
        <f t="shared" si="19"/>
        <v/>
      </c>
      <c r="JQ74" s="55" t="str">
        <f t="shared" si="19"/>
        <v/>
      </c>
      <c r="JR74" s="55" t="str">
        <f t="shared" si="19"/>
        <v/>
      </c>
      <c r="JS74" s="55" t="str">
        <f t="shared" si="19"/>
        <v/>
      </c>
      <c r="JT74" s="55" t="str">
        <f t="shared" si="19"/>
        <v/>
      </c>
      <c r="JU74" s="55" t="str">
        <f t="shared" si="19"/>
        <v/>
      </c>
      <c r="JV74" s="55" t="str">
        <f t="shared" si="19"/>
        <v/>
      </c>
      <c r="JW74" s="55" t="str">
        <f t="shared" si="19"/>
        <v/>
      </c>
    </row>
    <row r="75" spans="1:283" s="2" customFormat="1">
      <c r="A75" s="54"/>
      <c r="B75" s="54"/>
      <c r="C75" s="54"/>
      <c r="D75" s="54"/>
      <c r="E75" s="54"/>
      <c r="F75" s="54"/>
      <c r="G75" s="54">
        <v>-5</v>
      </c>
      <c r="H75" s="54">
        <v>-4</v>
      </c>
      <c r="I75" s="54">
        <v>-3</v>
      </c>
      <c r="J75" s="54">
        <v>-2</v>
      </c>
      <c r="K75" s="54">
        <v>-1</v>
      </c>
      <c r="L75" s="54">
        <v>0</v>
      </c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</row>
    <row r="76" spans="1:283" ht="73.5" customHeight="1">
      <c r="A76" s="78" t="s">
        <v>26</v>
      </c>
      <c r="B76" s="78" t="s">
        <v>27</v>
      </c>
      <c r="C76" s="78" t="s">
        <v>28</v>
      </c>
      <c r="D76" s="78" t="s">
        <v>29</v>
      </c>
      <c r="E76" s="78" t="s">
        <v>30</v>
      </c>
      <c r="F76" s="79" t="s">
        <v>31</v>
      </c>
      <c r="G76" s="39" t="e">
        <f>+H76-1</f>
        <v>#REF!</v>
      </c>
      <c r="H76" s="39" t="e">
        <f>+I76-1</f>
        <v>#REF!</v>
      </c>
      <c r="I76" s="39" t="e">
        <f>+J76-1</f>
        <v>#REF!</v>
      </c>
      <c r="J76" s="39" t="e">
        <f>+K76-1</f>
        <v>#REF!</v>
      </c>
      <c r="K76" s="39" t="e">
        <f>+L76-1</f>
        <v>#REF!</v>
      </c>
      <c r="L76" s="40" t="e">
        <f>B74</f>
        <v>#REF!</v>
      </c>
      <c r="M76" t="str">
        <f>+IF(M75&gt;0,$L$76+M75,"")</f>
        <v/>
      </c>
      <c r="N76" t="str">
        <f t="shared" ref="N76:BY76" si="20">+IF(N75&gt;0,$L$76+N75,"")</f>
        <v/>
      </c>
      <c r="O76" t="str">
        <f t="shared" si="20"/>
        <v/>
      </c>
      <c r="P76" t="str">
        <f t="shared" si="20"/>
        <v/>
      </c>
      <c r="Q76" t="str">
        <f t="shared" si="20"/>
        <v/>
      </c>
      <c r="R76" t="str">
        <f t="shared" si="20"/>
        <v/>
      </c>
      <c r="S76" t="str">
        <f t="shared" si="20"/>
        <v/>
      </c>
      <c r="T76" t="str">
        <f t="shared" si="20"/>
        <v/>
      </c>
      <c r="U76" t="str">
        <f t="shared" si="20"/>
        <v/>
      </c>
      <c r="V76" t="str">
        <f t="shared" si="20"/>
        <v/>
      </c>
      <c r="W76" t="str">
        <f t="shared" si="20"/>
        <v/>
      </c>
      <c r="X76" t="str">
        <f t="shared" si="20"/>
        <v/>
      </c>
      <c r="Y76" t="str">
        <f t="shared" si="20"/>
        <v/>
      </c>
      <c r="Z76" t="str">
        <f t="shared" si="20"/>
        <v/>
      </c>
      <c r="AA76" t="str">
        <f t="shared" si="20"/>
        <v/>
      </c>
      <c r="AB76" t="str">
        <f t="shared" si="20"/>
        <v/>
      </c>
      <c r="AC76" t="str">
        <f t="shared" si="20"/>
        <v/>
      </c>
      <c r="AD76" t="str">
        <f t="shared" si="20"/>
        <v/>
      </c>
      <c r="AE76" t="str">
        <f t="shared" si="20"/>
        <v/>
      </c>
      <c r="AF76" t="str">
        <f t="shared" si="20"/>
        <v/>
      </c>
      <c r="AG76" t="str">
        <f t="shared" si="20"/>
        <v/>
      </c>
      <c r="AH76" t="str">
        <f t="shared" si="20"/>
        <v/>
      </c>
      <c r="AI76" t="str">
        <f t="shared" si="20"/>
        <v/>
      </c>
      <c r="AJ76" t="str">
        <f t="shared" si="20"/>
        <v/>
      </c>
      <c r="AK76" t="str">
        <f t="shared" si="20"/>
        <v/>
      </c>
      <c r="AL76" t="str">
        <f t="shared" si="20"/>
        <v/>
      </c>
      <c r="AM76" t="str">
        <f t="shared" si="20"/>
        <v/>
      </c>
      <c r="AN76" t="str">
        <f t="shared" si="20"/>
        <v/>
      </c>
      <c r="AO76" t="str">
        <f t="shared" si="20"/>
        <v/>
      </c>
      <c r="AP76" t="str">
        <f t="shared" si="20"/>
        <v/>
      </c>
      <c r="AQ76" t="str">
        <f t="shared" si="20"/>
        <v/>
      </c>
      <c r="AR76" t="str">
        <f t="shared" si="20"/>
        <v/>
      </c>
      <c r="AS76" t="str">
        <f t="shared" si="20"/>
        <v/>
      </c>
      <c r="AT76" t="str">
        <f t="shared" si="20"/>
        <v/>
      </c>
      <c r="AU76" t="str">
        <f t="shared" si="20"/>
        <v/>
      </c>
      <c r="AV76" t="str">
        <f t="shared" si="20"/>
        <v/>
      </c>
      <c r="AW76" t="str">
        <f t="shared" si="20"/>
        <v/>
      </c>
      <c r="AX76" t="str">
        <f t="shared" si="20"/>
        <v/>
      </c>
      <c r="AY76" t="str">
        <f t="shared" si="20"/>
        <v/>
      </c>
      <c r="AZ76" t="str">
        <f t="shared" si="20"/>
        <v/>
      </c>
      <c r="BA76" t="str">
        <f t="shared" si="20"/>
        <v/>
      </c>
      <c r="BB76" t="str">
        <f t="shared" si="20"/>
        <v/>
      </c>
      <c r="BC76" t="str">
        <f t="shared" si="20"/>
        <v/>
      </c>
      <c r="BD76" t="str">
        <f t="shared" si="20"/>
        <v/>
      </c>
      <c r="BE76" t="str">
        <f t="shared" si="20"/>
        <v/>
      </c>
      <c r="BF76" t="str">
        <f t="shared" si="20"/>
        <v/>
      </c>
      <c r="BG76" t="str">
        <f t="shared" si="20"/>
        <v/>
      </c>
      <c r="BH76" t="str">
        <f t="shared" si="20"/>
        <v/>
      </c>
      <c r="BI76" t="str">
        <f t="shared" si="20"/>
        <v/>
      </c>
      <c r="BJ76" t="str">
        <f t="shared" si="20"/>
        <v/>
      </c>
      <c r="BK76" t="str">
        <f t="shared" si="20"/>
        <v/>
      </c>
      <c r="BL76" t="str">
        <f t="shared" si="20"/>
        <v/>
      </c>
      <c r="BM76" t="str">
        <f t="shared" si="20"/>
        <v/>
      </c>
      <c r="BN76" t="str">
        <f t="shared" si="20"/>
        <v/>
      </c>
      <c r="BO76" t="str">
        <f t="shared" si="20"/>
        <v/>
      </c>
      <c r="BP76" t="str">
        <f t="shared" si="20"/>
        <v/>
      </c>
      <c r="BQ76" t="str">
        <f t="shared" si="20"/>
        <v/>
      </c>
      <c r="BR76" t="str">
        <f t="shared" si="20"/>
        <v/>
      </c>
      <c r="BS76" t="str">
        <f t="shared" si="20"/>
        <v/>
      </c>
      <c r="BT76" t="str">
        <f t="shared" si="20"/>
        <v/>
      </c>
      <c r="BU76" t="str">
        <f t="shared" si="20"/>
        <v/>
      </c>
      <c r="BV76" t="str">
        <f t="shared" si="20"/>
        <v/>
      </c>
      <c r="BW76" t="str">
        <f t="shared" si="20"/>
        <v/>
      </c>
      <c r="BX76" t="str">
        <f t="shared" si="20"/>
        <v/>
      </c>
      <c r="BY76" t="str">
        <f t="shared" si="20"/>
        <v/>
      </c>
      <c r="BZ76" t="str">
        <f t="shared" ref="BZ76:EK76" si="21">+IF(BZ75&gt;0,$L$76+BZ75,"")</f>
        <v/>
      </c>
      <c r="CA76" t="str">
        <f t="shared" si="21"/>
        <v/>
      </c>
      <c r="CB76" t="str">
        <f t="shared" si="21"/>
        <v/>
      </c>
      <c r="CC76" t="str">
        <f t="shared" si="21"/>
        <v/>
      </c>
      <c r="CD76" t="str">
        <f t="shared" si="21"/>
        <v/>
      </c>
      <c r="CE76" t="str">
        <f t="shared" si="21"/>
        <v/>
      </c>
      <c r="CF76" t="str">
        <f t="shared" si="21"/>
        <v/>
      </c>
      <c r="CG76" t="str">
        <f t="shared" si="21"/>
        <v/>
      </c>
      <c r="CH76" t="str">
        <f t="shared" si="21"/>
        <v/>
      </c>
      <c r="CI76" t="str">
        <f t="shared" si="21"/>
        <v/>
      </c>
      <c r="CJ76" t="str">
        <f t="shared" si="21"/>
        <v/>
      </c>
      <c r="CK76" t="str">
        <f t="shared" si="21"/>
        <v/>
      </c>
      <c r="CL76" t="str">
        <f t="shared" si="21"/>
        <v/>
      </c>
      <c r="CM76" t="str">
        <f t="shared" si="21"/>
        <v/>
      </c>
      <c r="CN76" t="str">
        <f t="shared" si="21"/>
        <v/>
      </c>
      <c r="CO76" t="str">
        <f t="shared" si="21"/>
        <v/>
      </c>
      <c r="CP76" t="str">
        <f t="shared" si="21"/>
        <v/>
      </c>
      <c r="CQ76" t="str">
        <f t="shared" si="21"/>
        <v/>
      </c>
      <c r="CR76" t="str">
        <f t="shared" si="21"/>
        <v/>
      </c>
      <c r="CS76" t="str">
        <f t="shared" si="21"/>
        <v/>
      </c>
      <c r="CT76" t="str">
        <f t="shared" si="21"/>
        <v/>
      </c>
      <c r="CU76" t="str">
        <f t="shared" si="21"/>
        <v/>
      </c>
      <c r="CV76" t="str">
        <f t="shared" si="21"/>
        <v/>
      </c>
      <c r="CW76" t="str">
        <f t="shared" si="21"/>
        <v/>
      </c>
      <c r="CX76" t="str">
        <f t="shared" si="21"/>
        <v/>
      </c>
      <c r="CY76" t="str">
        <f t="shared" si="21"/>
        <v/>
      </c>
      <c r="CZ76" t="str">
        <f t="shared" si="21"/>
        <v/>
      </c>
      <c r="DA76" t="str">
        <f t="shared" si="21"/>
        <v/>
      </c>
      <c r="DB76" t="str">
        <f t="shared" si="21"/>
        <v/>
      </c>
      <c r="DC76" t="str">
        <f t="shared" si="21"/>
        <v/>
      </c>
      <c r="DD76" t="str">
        <f t="shared" si="21"/>
        <v/>
      </c>
      <c r="DE76" t="str">
        <f t="shared" si="21"/>
        <v/>
      </c>
      <c r="DF76" t="str">
        <f t="shared" si="21"/>
        <v/>
      </c>
      <c r="DG76" t="str">
        <f t="shared" si="21"/>
        <v/>
      </c>
      <c r="DH76" t="str">
        <f t="shared" si="21"/>
        <v/>
      </c>
      <c r="DI76" t="str">
        <f t="shared" si="21"/>
        <v/>
      </c>
      <c r="DJ76" t="str">
        <f t="shared" si="21"/>
        <v/>
      </c>
      <c r="DK76" t="str">
        <f t="shared" si="21"/>
        <v/>
      </c>
      <c r="DL76" t="str">
        <f t="shared" si="21"/>
        <v/>
      </c>
      <c r="DM76" t="str">
        <f t="shared" si="21"/>
        <v/>
      </c>
      <c r="DN76" t="str">
        <f t="shared" si="21"/>
        <v/>
      </c>
      <c r="DO76" t="str">
        <f t="shared" si="21"/>
        <v/>
      </c>
      <c r="DP76" t="str">
        <f t="shared" si="21"/>
        <v/>
      </c>
      <c r="DQ76" t="str">
        <f t="shared" si="21"/>
        <v/>
      </c>
      <c r="DR76" t="str">
        <f t="shared" si="21"/>
        <v/>
      </c>
      <c r="DS76" t="str">
        <f t="shared" si="21"/>
        <v/>
      </c>
      <c r="DT76" t="str">
        <f t="shared" si="21"/>
        <v/>
      </c>
      <c r="DU76" t="str">
        <f t="shared" si="21"/>
        <v/>
      </c>
      <c r="DV76" t="str">
        <f t="shared" si="21"/>
        <v/>
      </c>
      <c r="DW76" t="str">
        <f t="shared" si="21"/>
        <v/>
      </c>
      <c r="DX76" t="str">
        <f t="shared" si="21"/>
        <v/>
      </c>
      <c r="DY76" t="str">
        <f t="shared" si="21"/>
        <v/>
      </c>
      <c r="DZ76" t="str">
        <f t="shared" si="21"/>
        <v/>
      </c>
      <c r="EA76" t="str">
        <f t="shared" si="21"/>
        <v/>
      </c>
      <c r="EB76" t="str">
        <f t="shared" si="21"/>
        <v/>
      </c>
      <c r="EC76" t="str">
        <f t="shared" si="21"/>
        <v/>
      </c>
      <c r="ED76" t="str">
        <f t="shared" si="21"/>
        <v/>
      </c>
      <c r="EE76" t="str">
        <f t="shared" si="21"/>
        <v/>
      </c>
      <c r="EF76" t="str">
        <f t="shared" si="21"/>
        <v/>
      </c>
      <c r="EG76" t="str">
        <f t="shared" si="21"/>
        <v/>
      </c>
      <c r="EH76" t="str">
        <f t="shared" si="21"/>
        <v/>
      </c>
      <c r="EI76" t="str">
        <f t="shared" si="21"/>
        <v/>
      </c>
      <c r="EJ76" t="str">
        <f t="shared" si="21"/>
        <v/>
      </c>
      <c r="EK76" t="str">
        <f t="shared" si="21"/>
        <v/>
      </c>
      <c r="EL76" t="str">
        <f t="shared" ref="EL76:GW76" si="22">+IF(EL75&gt;0,$L$76+EL75,"")</f>
        <v/>
      </c>
      <c r="EM76" t="str">
        <f t="shared" si="22"/>
        <v/>
      </c>
      <c r="EN76" t="str">
        <f t="shared" si="22"/>
        <v/>
      </c>
      <c r="EO76" t="str">
        <f t="shared" si="22"/>
        <v/>
      </c>
      <c r="EP76" t="str">
        <f t="shared" si="22"/>
        <v/>
      </c>
      <c r="EQ76" t="str">
        <f t="shared" si="22"/>
        <v/>
      </c>
      <c r="ER76" t="str">
        <f t="shared" si="22"/>
        <v/>
      </c>
      <c r="ES76" t="str">
        <f t="shared" si="22"/>
        <v/>
      </c>
      <c r="ET76" t="str">
        <f t="shared" si="22"/>
        <v/>
      </c>
      <c r="EU76" t="str">
        <f t="shared" si="22"/>
        <v/>
      </c>
      <c r="EV76" t="str">
        <f t="shared" si="22"/>
        <v/>
      </c>
      <c r="EW76" t="str">
        <f t="shared" si="22"/>
        <v/>
      </c>
      <c r="EX76" t="str">
        <f t="shared" si="22"/>
        <v/>
      </c>
      <c r="EY76" t="str">
        <f t="shared" si="22"/>
        <v/>
      </c>
      <c r="EZ76" t="str">
        <f t="shared" si="22"/>
        <v/>
      </c>
      <c r="FA76" t="str">
        <f t="shared" si="22"/>
        <v/>
      </c>
      <c r="FB76" t="str">
        <f t="shared" si="22"/>
        <v/>
      </c>
      <c r="FC76" t="str">
        <f t="shared" si="22"/>
        <v/>
      </c>
      <c r="FD76" t="str">
        <f t="shared" si="22"/>
        <v/>
      </c>
      <c r="FE76" t="str">
        <f t="shared" si="22"/>
        <v/>
      </c>
      <c r="FF76" t="str">
        <f t="shared" si="22"/>
        <v/>
      </c>
      <c r="FG76" t="str">
        <f t="shared" si="22"/>
        <v/>
      </c>
      <c r="FH76" t="str">
        <f t="shared" si="22"/>
        <v/>
      </c>
      <c r="FI76" t="str">
        <f t="shared" si="22"/>
        <v/>
      </c>
      <c r="FJ76" t="str">
        <f t="shared" si="22"/>
        <v/>
      </c>
      <c r="FK76" t="str">
        <f t="shared" si="22"/>
        <v/>
      </c>
      <c r="FL76" t="str">
        <f t="shared" si="22"/>
        <v/>
      </c>
      <c r="FM76" t="str">
        <f t="shared" si="22"/>
        <v/>
      </c>
      <c r="FN76" t="str">
        <f t="shared" si="22"/>
        <v/>
      </c>
      <c r="FO76" t="str">
        <f t="shared" si="22"/>
        <v/>
      </c>
      <c r="FP76" t="str">
        <f t="shared" si="22"/>
        <v/>
      </c>
      <c r="FQ76" t="str">
        <f t="shared" si="22"/>
        <v/>
      </c>
      <c r="FR76" t="str">
        <f t="shared" si="22"/>
        <v/>
      </c>
      <c r="FS76" t="str">
        <f t="shared" si="22"/>
        <v/>
      </c>
      <c r="FT76" t="str">
        <f t="shared" si="22"/>
        <v/>
      </c>
      <c r="FU76" t="str">
        <f t="shared" si="22"/>
        <v/>
      </c>
      <c r="FV76" t="str">
        <f t="shared" si="22"/>
        <v/>
      </c>
      <c r="FW76" t="str">
        <f t="shared" si="22"/>
        <v/>
      </c>
      <c r="FX76" t="str">
        <f t="shared" si="22"/>
        <v/>
      </c>
      <c r="FY76" t="str">
        <f t="shared" si="22"/>
        <v/>
      </c>
      <c r="FZ76" t="str">
        <f t="shared" si="22"/>
        <v/>
      </c>
      <c r="GA76" t="str">
        <f t="shared" si="22"/>
        <v/>
      </c>
      <c r="GB76" t="str">
        <f t="shared" si="22"/>
        <v/>
      </c>
      <c r="GC76" t="str">
        <f t="shared" si="22"/>
        <v/>
      </c>
      <c r="GD76" t="str">
        <f t="shared" si="22"/>
        <v/>
      </c>
      <c r="GE76" t="str">
        <f t="shared" si="22"/>
        <v/>
      </c>
      <c r="GF76" t="str">
        <f t="shared" si="22"/>
        <v/>
      </c>
      <c r="GG76" t="str">
        <f t="shared" si="22"/>
        <v/>
      </c>
      <c r="GH76" t="str">
        <f t="shared" si="22"/>
        <v/>
      </c>
      <c r="GI76" t="str">
        <f t="shared" si="22"/>
        <v/>
      </c>
      <c r="GJ76" t="str">
        <f t="shared" si="22"/>
        <v/>
      </c>
      <c r="GK76" t="str">
        <f t="shared" si="22"/>
        <v/>
      </c>
      <c r="GL76" t="str">
        <f t="shared" si="22"/>
        <v/>
      </c>
      <c r="GM76" t="str">
        <f t="shared" si="22"/>
        <v/>
      </c>
      <c r="GN76" t="str">
        <f t="shared" si="22"/>
        <v/>
      </c>
      <c r="GO76" t="str">
        <f t="shared" si="22"/>
        <v/>
      </c>
      <c r="GP76" t="str">
        <f t="shared" si="22"/>
        <v/>
      </c>
      <c r="GQ76" t="str">
        <f t="shared" si="22"/>
        <v/>
      </c>
      <c r="GR76" t="str">
        <f t="shared" si="22"/>
        <v/>
      </c>
      <c r="GS76" t="str">
        <f t="shared" si="22"/>
        <v/>
      </c>
      <c r="GT76" t="str">
        <f t="shared" si="22"/>
        <v/>
      </c>
      <c r="GU76" t="str">
        <f t="shared" si="22"/>
        <v/>
      </c>
      <c r="GV76" t="str">
        <f t="shared" si="22"/>
        <v/>
      </c>
      <c r="GW76" t="str">
        <f t="shared" si="22"/>
        <v/>
      </c>
      <c r="GX76" t="str">
        <f t="shared" ref="GX76:HH76" si="23">+IF(GX75&gt;0,$L$76+GX75,"")</f>
        <v/>
      </c>
      <c r="GY76" t="str">
        <f t="shared" si="23"/>
        <v/>
      </c>
      <c r="GZ76" t="str">
        <f t="shared" si="23"/>
        <v/>
      </c>
      <c r="HA76" t="str">
        <f t="shared" si="23"/>
        <v/>
      </c>
      <c r="HB76" t="str">
        <f t="shared" si="23"/>
        <v/>
      </c>
      <c r="HC76" t="str">
        <f t="shared" si="23"/>
        <v/>
      </c>
      <c r="HD76" t="str">
        <f t="shared" si="23"/>
        <v/>
      </c>
      <c r="HE76" t="str">
        <f t="shared" si="23"/>
        <v/>
      </c>
      <c r="HF76" t="str">
        <f t="shared" si="23"/>
        <v/>
      </c>
      <c r="HG76" t="str">
        <f t="shared" si="23"/>
        <v/>
      </c>
      <c r="HH76" t="str">
        <f t="shared" si="23"/>
        <v/>
      </c>
    </row>
    <row r="77" spans="1:283">
      <c r="A77" s="42" t="e">
        <f>+IF($B$72=#REF!,#REF!,"")</f>
        <v>#REF!</v>
      </c>
      <c r="B77" s="42" t="e">
        <f>+IF($B$72=#REF!,#REF!,"")</f>
        <v>#REF!</v>
      </c>
      <c r="C77" s="42" t="e">
        <f>+IF($B$72=#REF!,#REF!,"")</f>
        <v>#REF!</v>
      </c>
      <c r="D77" s="42" t="e">
        <f>+IF($B$72=#REF!,#REF!,"")</f>
        <v>#REF!</v>
      </c>
      <c r="E77" s="42" t="e">
        <f>+IF($B$72=#REF!,#REF!,"")</f>
        <v>#REF!</v>
      </c>
      <c r="F77" s="42" t="e">
        <f>+IF($B$72=#REF!,#REF!,"")</f>
        <v>#REF!</v>
      </c>
      <c r="G77" s="64"/>
      <c r="H77" s="64"/>
      <c r="I77" s="64"/>
      <c r="J77" s="64"/>
      <c r="K77" s="64"/>
      <c r="L77" s="64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68"/>
      <c r="BA77" s="68"/>
      <c r="BB77" s="68"/>
      <c r="BC77" s="68"/>
      <c r="BD77" s="68"/>
      <c r="BE77" s="68"/>
      <c r="BF77" s="68"/>
      <c r="BG77" s="68"/>
      <c r="BH77" s="68"/>
      <c r="BI77" s="68"/>
      <c r="BJ77" s="68"/>
      <c r="BK77" s="68"/>
      <c r="BL77" s="68"/>
      <c r="BM77" s="68"/>
      <c r="BN77" s="68"/>
      <c r="BO77" s="68"/>
      <c r="BP77" s="68"/>
      <c r="BQ77" s="68"/>
      <c r="BR77" s="68"/>
      <c r="BS77" s="68"/>
      <c r="BT77" s="68"/>
      <c r="BU77" s="68"/>
      <c r="BV77" s="68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  <c r="EU77" s="64"/>
    </row>
    <row r="78" spans="1:283">
      <c r="A78" s="42" t="e">
        <f>+IF($B$72=#REF!,#REF!,"")</f>
        <v>#REF!</v>
      </c>
      <c r="B78" s="42" t="e">
        <f>+IF($B$72=#REF!,#REF!,"")</f>
        <v>#REF!</v>
      </c>
      <c r="C78" s="42" t="e">
        <f>+IF($B$72=#REF!,#REF!,"")</f>
        <v>#REF!</v>
      </c>
      <c r="D78" s="42" t="e">
        <f>+IF($B$72=#REF!,#REF!,"")</f>
        <v>#REF!</v>
      </c>
      <c r="E78" s="42" t="e">
        <f>+IF($B$72=#REF!,#REF!,"")</f>
        <v>#REF!</v>
      </c>
      <c r="F78" s="42" t="e">
        <f>+IF($B$72=#REF!,#REF!,"")</f>
        <v>#REF!</v>
      </c>
      <c r="G78" s="64"/>
      <c r="H78" s="64"/>
      <c r="I78" s="64"/>
      <c r="J78" s="64"/>
      <c r="K78" s="64"/>
      <c r="L78" s="64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8"/>
      <c r="AT78" s="68"/>
      <c r="AU78" s="68"/>
      <c r="AV78" s="68"/>
      <c r="AW78" s="68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  <c r="EU78" s="64"/>
    </row>
    <row r="79" spans="1:283">
      <c r="A79" s="42" t="e">
        <f>+IF($B$72=#REF!,#REF!,"")</f>
        <v>#REF!</v>
      </c>
      <c r="B79" s="42" t="e">
        <f>+IF($B$72=#REF!,#REF!,"")</f>
        <v>#REF!</v>
      </c>
      <c r="C79" s="42" t="e">
        <f>+IF($B$72=#REF!,#REF!,"")</f>
        <v>#REF!</v>
      </c>
      <c r="D79" s="42" t="e">
        <f>+IF($B$72=#REF!,#REF!,"")</f>
        <v>#REF!</v>
      </c>
      <c r="E79" s="42" t="e">
        <f>+IF($B$72=#REF!,#REF!,"")</f>
        <v>#REF!</v>
      </c>
      <c r="F79" s="42" t="e">
        <f>+IF($B$72=#REF!,#REF!,"")</f>
        <v>#REF!</v>
      </c>
      <c r="G79" s="64"/>
      <c r="H79" s="64"/>
      <c r="I79" s="64"/>
      <c r="J79" s="64"/>
      <c r="K79" s="64"/>
      <c r="L79" s="64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8"/>
      <c r="AT79" s="68"/>
      <c r="AU79" s="68"/>
      <c r="AV79" s="68"/>
      <c r="AW79" s="68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  <c r="EU79" s="64"/>
    </row>
    <row r="80" spans="1:283">
      <c r="A80" s="42" t="e">
        <f>+IF($B$72=#REF!,#REF!,"")</f>
        <v>#REF!</v>
      </c>
      <c r="B80" s="42" t="e">
        <f>+IF($B$72=#REF!,#REF!,"")</f>
        <v>#REF!</v>
      </c>
      <c r="C80" s="42" t="e">
        <f>+IF($B$72=#REF!,#REF!,"")</f>
        <v>#REF!</v>
      </c>
      <c r="D80" s="42" t="e">
        <f>+IF($B$72=#REF!,#REF!,"")</f>
        <v>#REF!</v>
      </c>
      <c r="E80" s="42" t="e">
        <f>+IF($B$72=#REF!,#REF!,"")</f>
        <v>#REF!</v>
      </c>
      <c r="F80" s="42" t="e">
        <f>+IF($B$72=#REF!,#REF!,"")</f>
        <v>#REF!</v>
      </c>
      <c r="G80" s="64"/>
      <c r="H80" s="64"/>
      <c r="I80" s="64"/>
      <c r="J80" s="64"/>
      <c r="K80" s="64"/>
      <c r="L80" s="64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  <c r="EU80" s="64"/>
    </row>
    <row r="81" spans="1:273">
      <c r="A81" s="42" t="e">
        <f>+IF($B$72=#REF!,#REF!,"")</f>
        <v>#REF!</v>
      </c>
      <c r="B81" s="42" t="e">
        <f>+IF($B$72=#REF!,#REF!,"")</f>
        <v>#REF!</v>
      </c>
      <c r="C81" s="42" t="e">
        <f>+IF($B$72=#REF!,#REF!,"")</f>
        <v>#REF!</v>
      </c>
      <c r="D81" s="42" t="e">
        <f>+IF($B$72=#REF!,#REF!,"")</f>
        <v>#REF!</v>
      </c>
      <c r="E81" s="42" t="e">
        <f>+IF($B$72=#REF!,#REF!,"")</f>
        <v>#REF!</v>
      </c>
      <c r="F81" s="42" t="e">
        <f>+IF($B$72=#REF!,#REF!,"")</f>
        <v>#REF!</v>
      </c>
      <c r="G81" s="64"/>
      <c r="H81" s="64"/>
      <c r="I81" s="64"/>
      <c r="J81" s="64"/>
      <c r="K81" s="64"/>
      <c r="L81" s="64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  <c r="EU81" s="64"/>
    </row>
    <row r="82" spans="1:273">
      <c r="G82" s="64"/>
      <c r="H82" s="64"/>
      <c r="I82" s="64"/>
      <c r="J82" s="64"/>
      <c r="K82" s="64"/>
      <c r="L82" s="64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  <c r="EU82" s="64"/>
    </row>
    <row r="83" spans="1:273">
      <c r="G83" s="64"/>
      <c r="H83" s="64"/>
      <c r="I83" s="64"/>
      <c r="J83" s="64"/>
      <c r="K83" s="64"/>
      <c r="L83" s="64"/>
      <c r="M83" s="71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68"/>
      <c r="BA83" s="68"/>
      <c r="BB83" s="68"/>
      <c r="BC83" s="68"/>
      <c r="BD83" s="68"/>
      <c r="BE83" s="68"/>
      <c r="BF83" s="68"/>
      <c r="BG83" s="68"/>
      <c r="BH83" s="68"/>
      <c r="BI83" s="68"/>
      <c r="BJ83" s="68"/>
      <c r="BK83" s="68"/>
      <c r="BL83" s="68"/>
      <c r="BM83" s="68"/>
      <c r="BN83" s="68"/>
      <c r="BO83" s="68"/>
      <c r="BP83" s="68"/>
      <c r="BQ83" s="68"/>
      <c r="BR83" s="68"/>
      <c r="BS83" s="68"/>
      <c r="BT83" s="68"/>
      <c r="BU83" s="68"/>
      <c r="BV83" s="68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  <c r="EU83" s="64"/>
    </row>
    <row r="84" spans="1:273">
      <c r="A84" s="45" t="s">
        <v>23</v>
      </c>
      <c r="B84" s="46">
        <v>2</v>
      </c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</row>
    <row r="85" spans="1:273" ht="38.25">
      <c r="A85" s="57" t="s">
        <v>24</v>
      </c>
      <c r="B85" s="58" t="e">
        <f>+COUNTIF(#REF!,1)</f>
        <v>#REF!</v>
      </c>
      <c r="C85" s="6"/>
      <c r="D85" s="6"/>
      <c r="E85" s="6"/>
      <c r="F85" s="59" t="s">
        <v>36</v>
      </c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</row>
    <row r="86" spans="1:273">
      <c r="A86" s="45" t="s">
        <v>10</v>
      </c>
      <c r="B86" s="62" t="e">
        <f>+IF(#REF!&lt;&gt;"",#REF!,"")</f>
        <v>#REF!</v>
      </c>
      <c r="C86" s="6"/>
      <c r="D86" s="6"/>
      <c r="E86" s="6"/>
      <c r="F86" s="60"/>
      <c r="G86" s="55" t="e">
        <f>IF(G88&lt;&gt;"",TEXT(G88,"ddd"),"")</f>
        <v>#REF!</v>
      </c>
      <c r="H86" s="55" t="e">
        <f t="shared" ref="H86:BS86" si="24">IF(H88&lt;&gt;"",TEXT(H88,"ddd"),"")</f>
        <v>#REF!</v>
      </c>
      <c r="I86" s="55" t="e">
        <f t="shared" si="24"/>
        <v>#REF!</v>
      </c>
      <c r="J86" s="55" t="e">
        <f t="shared" si="24"/>
        <v>#REF!</v>
      </c>
      <c r="K86" s="55" t="e">
        <f t="shared" si="24"/>
        <v>#REF!</v>
      </c>
      <c r="L86" s="55" t="e">
        <f t="shared" si="24"/>
        <v>#REF!</v>
      </c>
      <c r="M86" s="55" t="str">
        <f t="shared" si="24"/>
        <v/>
      </c>
      <c r="N86" s="55" t="str">
        <f t="shared" si="24"/>
        <v/>
      </c>
      <c r="O86" s="55" t="str">
        <f t="shared" si="24"/>
        <v/>
      </c>
      <c r="P86" s="55" t="str">
        <f t="shared" si="24"/>
        <v/>
      </c>
      <c r="Q86" s="55" t="str">
        <f t="shared" si="24"/>
        <v/>
      </c>
      <c r="R86" s="55" t="str">
        <f t="shared" si="24"/>
        <v/>
      </c>
      <c r="S86" s="55" t="str">
        <f t="shared" si="24"/>
        <v/>
      </c>
      <c r="T86" s="55" t="str">
        <f t="shared" si="24"/>
        <v/>
      </c>
      <c r="U86" s="55" t="str">
        <f t="shared" si="24"/>
        <v/>
      </c>
      <c r="V86" s="55" t="str">
        <f t="shared" si="24"/>
        <v/>
      </c>
      <c r="W86" s="55" t="str">
        <f t="shared" si="24"/>
        <v/>
      </c>
      <c r="X86" s="55" t="str">
        <f t="shared" si="24"/>
        <v/>
      </c>
      <c r="Y86" s="55" t="str">
        <f t="shared" si="24"/>
        <v/>
      </c>
      <c r="Z86" s="55" t="str">
        <f t="shared" si="24"/>
        <v/>
      </c>
      <c r="AA86" s="55" t="str">
        <f t="shared" si="24"/>
        <v/>
      </c>
      <c r="AB86" s="55" t="str">
        <f t="shared" si="24"/>
        <v/>
      </c>
      <c r="AC86" s="55" t="str">
        <f t="shared" si="24"/>
        <v/>
      </c>
      <c r="AD86" s="55" t="str">
        <f t="shared" si="24"/>
        <v/>
      </c>
      <c r="AE86" s="55" t="str">
        <f t="shared" si="24"/>
        <v/>
      </c>
      <c r="AF86" s="55" t="str">
        <f t="shared" si="24"/>
        <v/>
      </c>
      <c r="AG86" s="55" t="str">
        <f t="shared" si="24"/>
        <v/>
      </c>
      <c r="AH86" s="55" t="str">
        <f t="shared" si="24"/>
        <v/>
      </c>
      <c r="AI86" s="55" t="str">
        <f t="shared" si="24"/>
        <v/>
      </c>
      <c r="AJ86" s="55" t="str">
        <f t="shared" si="24"/>
        <v/>
      </c>
      <c r="AK86" s="55" t="str">
        <f t="shared" si="24"/>
        <v/>
      </c>
      <c r="AL86" s="55" t="str">
        <f t="shared" si="24"/>
        <v/>
      </c>
      <c r="AM86" s="55" t="str">
        <f t="shared" si="24"/>
        <v/>
      </c>
      <c r="AN86" s="55" t="str">
        <f t="shared" si="24"/>
        <v/>
      </c>
      <c r="AO86" s="55" t="str">
        <f t="shared" si="24"/>
        <v/>
      </c>
      <c r="AP86" s="55" t="str">
        <f t="shared" si="24"/>
        <v/>
      </c>
      <c r="AQ86" s="55" t="str">
        <f t="shared" si="24"/>
        <v/>
      </c>
      <c r="AR86" s="55" t="str">
        <f t="shared" si="24"/>
        <v/>
      </c>
      <c r="AS86" s="55" t="str">
        <f t="shared" si="24"/>
        <v/>
      </c>
      <c r="AT86" s="55" t="str">
        <f t="shared" si="24"/>
        <v/>
      </c>
      <c r="AU86" s="55" t="str">
        <f t="shared" si="24"/>
        <v/>
      </c>
      <c r="AV86" s="55" t="str">
        <f t="shared" si="24"/>
        <v/>
      </c>
      <c r="AW86" s="55" t="str">
        <f t="shared" si="24"/>
        <v/>
      </c>
      <c r="AX86" s="55" t="str">
        <f t="shared" si="24"/>
        <v/>
      </c>
      <c r="AY86" s="55" t="str">
        <f t="shared" si="24"/>
        <v/>
      </c>
      <c r="AZ86" s="55" t="str">
        <f t="shared" si="24"/>
        <v/>
      </c>
      <c r="BA86" s="55" t="str">
        <f t="shared" si="24"/>
        <v/>
      </c>
      <c r="BB86" s="55" t="str">
        <f t="shared" si="24"/>
        <v/>
      </c>
      <c r="BC86" s="55" t="str">
        <f t="shared" si="24"/>
        <v/>
      </c>
      <c r="BD86" s="55" t="str">
        <f t="shared" si="24"/>
        <v/>
      </c>
      <c r="BE86" s="55" t="str">
        <f t="shared" si="24"/>
        <v/>
      </c>
      <c r="BF86" s="55" t="str">
        <f t="shared" si="24"/>
        <v/>
      </c>
      <c r="BG86" s="55" t="str">
        <f t="shared" si="24"/>
        <v/>
      </c>
      <c r="BH86" s="55" t="str">
        <f t="shared" si="24"/>
        <v/>
      </c>
      <c r="BI86" s="55" t="str">
        <f t="shared" si="24"/>
        <v/>
      </c>
      <c r="BJ86" s="55" t="str">
        <f t="shared" si="24"/>
        <v/>
      </c>
      <c r="BK86" s="55" t="str">
        <f t="shared" si="24"/>
        <v/>
      </c>
      <c r="BL86" s="55" t="str">
        <f t="shared" si="24"/>
        <v/>
      </c>
      <c r="BM86" s="55" t="str">
        <f t="shared" si="24"/>
        <v/>
      </c>
      <c r="BN86" s="55" t="str">
        <f t="shared" si="24"/>
        <v/>
      </c>
      <c r="BO86" s="55" t="str">
        <f t="shared" si="24"/>
        <v/>
      </c>
      <c r="BP86" s="55" t="str">
        <f t="shared" si="24"/>
        <v/>
      </c>
      <c r="BQ86" s="55" t="str">
        <f t="shared" si="24"/>
        <v/>
      </c>
      <c r="BR86" s="55" t="str">
        <f t="shared" si="24"/>
        <v/>
      </c>
      <c r="BS86" s="55" t="str">
        <f t="shared" si="24"/>
        <v/>
      </c>
      <c r="BT86" s="55" t="str">
        <f t="shared" ref="BT86:EE86" si="25">IF(BT88&lt;&gt;"",TEXT(BT88,"ddd"),"")</f>
        <v/>
      </c>
      <c r="BU86" s="55" t="str">
        <f t="shared" si="25"/>
        <v/>
      </c>
      <c r="BV86" s="55" t="str">
        <f t="shared" si="25"/>
        <v/>
      </c>
      <c r="BW86" s="55" t="str">
        <f t="shared" si="25"/>
        <v/>
      </c>
      <c r="BX86" s="55" t="str">
        <f t="shared" si="25"/>
        <v/>
      </c>
      <c r="BY86" s="55" t="str">
        <f t="shared" si="25"/>
        <v/>
      </c>
      <c r="BZ86" s="55" t="str">
        <f t="shared" si="25"/>
        <v/>
      </c>
      <c r="CA86" s="55" t="str">
        <f t="shared" si="25"/>
        <v/>
      </c>
      <c r="CB86" s="55" t="str">
        <f t="shared" si="25"/>
        <v/>
      </c>
      <c r="CC86" s="55" t="str">
        <f t="shared" si="25"/>
        <v/>
      </c>
      <c r="CD86" s="55" t="str">
        <f t="shared" si="25"/>
        <v/>
      </c>
      <c r="CE86" s="55" t="str">
        <f t="shared" si="25"/>
        <v/>
      </c>
      <c r="CF86" s="55" t="str">
        <f t="shared" si="25"/>
        <v/>
      </c>
      <c r="CG86" s="55" t="str">
        <f t="shared" si="25"/>
        <v/>
      </c>
      <c r="CH86" s="55" t="str">
        <f t="shared" si="25"/>
        <v/>
      </c>
      <c r="CI86" s="55" t="str">
        <f t="shared" si="25"/>
        <v/>
      </c>
      <c r="CJ86" s="55" t="str">
        <f t="shared" si="25"/>
        <v/>
      </c>
      <c r="CK86" s="55" t="str">
        <f t="shared" si="25"/>
        <v/>
      </c>
      <c r="CL86" s="55" t="str">
        <f t="shared" si="25"/>
        <v/>
      </c>
      <c r="CM86" s="55" t="str">
        <f t="shared" si="25"/>
        <v/>
      </c>
      <c r="CN86" s="55" t="str">
        <f t="shared" si="25"/>
        <v/>
      </c>
      <c r="CO86" s="55" t="str">
        <f t="shared" si="25"/>
        <v/>
      </c>
      <c r="CP86" s="55" t="str">
        <f t="shared" si="25"/>
        <v/>
      </c>
      <c r="CQ86" s="55" t="str">
        <f t="shared" si="25"/>
        <v/>
      </c>
      <c r="CR86" s="55" t="str">
        <f t="shared" si="25"/>
        <v/>
      </c>
      <c r="CS86" s="55" t="str">
        <f t="shared" si="25"/>
        <v/>
      </c>
      <c r="CT86" s="55" t="str">
        <f t="shared" si="25"/>
        <v/>
      </c>
      <c r="CU86" s="55" t="str">
        <f t="shared" si="25"/>
        <v/>
      </c>
      <c r="CV86" s="55" t="str">
        <f t="shared" si="25"/>
        <v/>
      </c>
      <c r="CW86" s="55" t="str">
        <f t="shared" si="25"/>
        <v/>
      </c>
      <c r="CX86" s="55" t="str">
        <f t="shared" si="25"/>
        <v/>
      </c>
      <c r="CY86" s="55" t="str">
        <f t="shared" si="25"/>
        <v/>
      </c>
      <c r="CZ86" s="55" t="str">
        <f t="shared" si="25"/>
        <v/>
      </c>
      <c r="DA86" s="55" t="str">
        <f t="shared" si="25"/>
        <v/>
      </c>
      <c r="DB86" s="55" t="str">
        <f t="shared" si="25"/>
        <v/>
      </c>
      <c r="DC86" s="55" t="str">
        <f t="shared" si="25"/>
        <v/>
      </c>
      <c r="DD86" s="55" t="str">
        <f t="shared" si="25"/>
        <v/>
      </c>
      <c r="DE86" s="55" t="str">
        <f t="shared" si="25"/>
        <v/>
      </c>
      <c r="DF86" s="55" t="str">
        <f t="shared" si="25"/>
        <v/>
      </c>
      <c r="DG86" s="55" t="str">
        <f t="shared" si="25"/>
        <v/>
      </c>
      <c r="DH86" s="55" t="str">
        <f t="shared" si="25"/>
        <v/>
      </c>
      <c r="DI86" s="55" t="str">
        <f t="shared" si="25"/>
        <v/>
      </c>
      <c r="DJ86" s="55" t="str">
        <f t="shared" si="25"/>
        <v/>
      </c>
      <c r="DK86" s="55" t="str">
        <f t="shared" si="25"/>
        <v/>
      </c>
      <c r="DL86" s="55" t="str">
        <f t="shared" si="25"/>
        <v/>
      </c>
      <c r="DM86" s="55" t="str">
        <f t="shared" si="25"/>
        <v/>
      </c>
      <c r="DN86" s="55" t="str">
        <f t="shared" si="25"/>
        <v/>
      </c>
      <c r="DO86" s="55" t="str">
        <f t="shared" si="25"/>
        <v/>
      </c>
      <c r="DP86" s="55" t="str">
        <f t="shared" si="25"/>
        <v/>
      </c>
      <c r="DQ86" s="55" t="str">
        <f t="shared" si="25"/>
        <v/>
      </c>
      <c r="DR86" s="55" t="str">
        <f t="shared" si="25"/>
        <v/>
      </c>
      <c r="DS86" s="55" t="str">
        <f t="shared" si="25"/>
        <v/>
      </c>
      <c r="DT86" s="55" t="str">
        <f t="shared" si="25"/>
        <v/>
      </c>
      <c r="DU86" s="55" t="str">
        <f t="shared" si="25"/>
        <v/>
      </c>
      <c r="DV86" s="55" t="str">
        <f t="shared" si="25"/>
        <v/>
      </c>
      <c r="DW86" s="55" t="str">
        <f t="shared" si="25"/>
        <v/>
      </c>
      <c r="DX86" s="55" t="str">
        <f t="shared" si="25"/>
        <v/>
      </c>
      <c r="DY86" s="55" t="str">
        <f t="shared" si="25"/>
        <v/>
      </c>
      <c r="DZ86" s="55" t="str">
        <f t="shared" si="25"/>
        <v/>
      </c>
      <c r="EA86" s="55" t="str">
        <f t="shared" si="25"/>
        <v/>
      </c>
      <c r="EB86" s="55" t="str">
        <f t="shared" si="25"/>
        <v/>
      </c>
      <c r="EC86" s="55" t="str">
        <f t="shared" si="25"/>
        <v/>
      </c>
      <c r="ED86" s="55" t="str">
        <f t="shared" si="25"/>
        <v/>
      </c>
      <c r="EE86" s="55" t="str">
        <f t="shared" si="25"/>
        <v/>
      </c>
      <c r="EF86" s="55" t="str">
        <f t="shared" ref="EF86:GQ86" si="26">IF(EF88&lt;&gt;"",TEXT(EF88,"ddd"),"")</f>
        <v/>
      </c>
      <c r="EG86" s="55" t="str">
        <f t="shared" si="26"/>
        <v/>
      </c>
      <c r="EH86" s="55" t="str">
        <f t="shared" si="26"/>
        <v/>
      </c>
      <c r="EI86" s="55" t="str">
        <f t="shared" si="26"/>
        <v/>
      </c>
      <c r="EJ86" s="55" t="str">
        <f t="shared" si="26"/>
        <v/>
      </c>
      <c r="EK86" s="55" t="str">
        <f t="shared" si="26"/>
        <v/>
      </c>
      <c r="EL86" s="55" t="str">
        <f t="shared" si="26"/>
        <v/>
      </c>
      <c r="EM86" s="55" t="str">
        <f t="shared" si="26"/>
        <v/>
      </c>
      <c r="EN86" s="55" t="str">
        <f t="shared" si="26"/>
        <v/>
      </c>
      <c r="EO86" s="55" t="str">
        <f t="shared" si="26"/>
        <v/>
      </c>
      <c r="EP86" s="55" t="str">
        <f t="shared" si="26"/>
        <v/>
      </c>
      <c r="EQ86" s="55" t="str">
        <f t="shared" si="26"/>
        <v/>
      </c>
      <c r="ER86" s="55" t="str">
        <f t="shared" si="26"/>
        <v/>
      </c>
      <c r="ES86" s="55" t="str">
        <f t="shared" si="26"/>
        <v/>
      </c>
      <c r="ET86" s="55" t="str">
        <f t="shared" si="26"/>
        <v/>
      </c>
      <c r="EU86" s="55" t="str">
        <f t="shared" si="26"/>
        <v/>
      </c>
      <c r="EV86" s="55" t="str">
        <f t="shared" si="26"/>
        <v/>
      </c>
      <c r="EW86" s="55" t="str">
        <f t="shared" si="26"/>
        <v/>
      </c>
      <c r="EX86" s="55" t="str">
        <f t="shared" si="26"/>
        <v/>
      </c>
      <c r="EY86" s="55" t="str">
        <f t="shared" si="26"/>
        <v/>
      </c>
      <c r="EZ86" s="55" t="str">
        <f t="shared" si="26"/>
        <v/>
      </c>
      <c r="FA86" s="55" t="str">
        <f t="shared" si="26"/>
        <v/>
      </c>
      <c r="FB86" s="55" t="str">
        <f t="shared" si="26"/>
        <v/>
      </c>
      <c r="FC86" s="55" t="str">
        <f t="shared" si="26"/>
        <v/>
      </c>
      <c r="FD86" s="55" t="str">
        <f t="shared" si="26"/>
        <v/>
      </c>
      <c r="FE86" s="55" t="str">
        <f t="shared" si="26"/>
        <v/>
      </c>
      <c r="FF86" s="55" t="str">
        <f t="shared" si="26"/>
        <v/>
      </c>
      <c r="FG86" s="55" t="str">
        <f t="shared" si="26"/>
        <v/>
      </c>
      <c r="FH86" s="55" t="str">
        <f t="shared" si="26"/>
        <v/>
      </c>
      <c r="FI86" s="55" t="str">
        <f t="shared" si="26"/>
        <v/>
      </c>
      <c r="FJ86" s="55" t="str">
        <f t="shared" si="26"/>
        <v/>
      </c>
      <c r="FK86" s="55" t="str">
        <f t="shared" si="26"/>
        <v/>
      </c>
      <c r="FL86" s="55" t="str">
        <f t="shared" si="26"/>
        <v/>
      </c>
      <c r="FM86" s="55" t="str">
        <f t="shared" si="26"/>
        <v/>
      </c>
      <c r="FN86" s="55" t="str">
        <f t="shared" si="26"/>
        <v/>
      </c>
      <c r="FO86" s="55" t="str">
        <f t="shared" si="26"/>
        <v/>
      </c>
      <c r="FP86" s="55" t="str">
        <f t="shared" si="26"/>
        <v/>
      </c>
      <c r="FQ86" s="55" t="str">
        <f t="shared" si="26"/>
        <v/>
      </c>
      <c r="FR86" s="55" t="str">
        <f t="shared" si="26"/>
        <v/>
      </c>
      <c r="FS86" s="55" t="str">
        <f t="shared" si="26"/>
        <v/>
      </c>
      <c r="FT86" s="55" t="str">
        <f t="shared" si="26"/>
        <v/>
      </c>
      <c r="FU86" s="55" t="str">
        <f t="shared" si="26"/>
        <v/>
      </c>
      <c r="FV86" s="55" t="str">
        <f t="shared" si="26"/>
        <v/>
      </c>
      <c r="FW86" s="55" t="str">
        <f t="shared" si="26"/>
        <v/>
      </c>
      <c r="FX86" s="55" t="str">
        <f t="shared" si="26"/>
        <v/>
      </c>
      <c r="FY86" s="55" t="str">
        <f t="shared" si="26"/>
        <v/>
      </c>
      <c r="FZ86" s="55" t="str">
        <f t="shared" si="26"/>
        <v/>
      </c>
      <c r="GA86" s="55" t="str">
        <f t="shared" si="26"/>
        <v/>
      </c>
      <c r="GB86" s="55" t="str">
        <f t="shared" si="26"/>
        <v/>
      </c>
      <c r="GC86" s="55" t="str">
        <f t="shared" si="26"/>
        <v/>
      </c>
      <c r="GD86" s="55" t="str">
        <f t="shared" si="26"/>
        <v/>
      </c>
      <c r="GE86" s="55" t="str">
        <f t="shared" si="26"/>
        <v/>
      </c>
      <c r="GF86" s="55" t="str">
        <f t="shared" si="26"/>
        <v/>
      </c>
      <c r="GG86" s="55" t="str">
        <f t="shared" si="26"/>
        <v/>
      </c>
      <c r="GH86" s="55" t="str">
        <f t="shared" si="26"/>
        <v/>
      </c>
      <c r="GI86" s="55" t="str">
        <f t="shared" si="26"/>
        <v/>
      </c>
      <c r="GJ86" s="55" t="str">
        <f t="shared" si="26"/>
        <v/>
      </c>
      <c r="GK86" s="55" t="str">
        <f t="shared" si="26"/>
        <v/>
      </c>
      <c r="GL86" s="55" t="str">
        <f t="shared" si="26"/>
        <v/>
      </c>
      <c r="GM86" s="55" t="str">
        <f t="shared" si="26"/>
        <v/>
      </c>
      <c r="GN86" s="55" t="str">
        <f t="shared" si="26"/>
        <v/>
      </c>
      <c r="GO86" s="55" t="str">
        <f t="shared" si="26"/>
        <v/>
      </c>
      <c r="GP86" s="55" t="str">
        <f t="shared" si="26"/>
        <v/>
      </c>
      <c r="GQ86" s="55" t="str">
        <f t="shared" si="26"/>
        <v/>
      </c>
      <c r="GR86" s="55" t="str">
        <f t="shared" ref="GR86:IC86" si="27">IF(GR88&lt;&gt;"",TEXT(GR88,"ddd"),"")</f>
        <v/>
      </c>
      <c r="GS86" s="55" t="str">
        <f t="shared" si="27"/>
        <v/>
      </c>
      <c r="GT86" s="55" t="str">
        <f t="shared" si="27"/>
        <v/>
      </c>
      <c r="GU86" s="55" t="str">
        <f t="shared" si="27"/>
        <v/>
      </c>
      <c r="GV86" s="55" t="str">
        <f t="shared" si="27"/>
        <v/>
      </c>
      <c r="GW86" s="55" t="str">
        <f t="shared" si="27"/>
        <v/>
      </c>
      <c r="GX86" s="55" t="str">
        <f t="shared" si="27"/>
        <v/>
      </c>
      <c r="GY86" s="55" t="str">
        <f t="shared" si="27"/>
        <v/>
      </c>
      <c r="GZ86" s="55" t="str">
        <f t="shared" si="27"/>
        <v/>
      </c>
      <c r="HA86" s="55" t="str">
        <f t="shared" si="27"/>
        <v/>
      </c>
      <c r="HB86" s="55" t="str">
        <f t="shared" si="27"/>
        <v/>
      </c>
      <c r="HC86" s="55" t="str">
        <f t="shared" si="27"/>
        <v/>
      </c>
      <c r="HD86" s="55" t="str">
        <f t="shared" si="27"/>
        <v/>
      </c>
      <c r="HE86" s="55" t="str">
        <f t="shared" si="27"/>
        <v/>
      </c>
      <c r="HF86" s="55" t="str">
        <f t="shared" si="27"/>
        <v/>
      </c>
      <c r="HG86" s="55" t="str">
        <f t="shared" si="27"/>
        <v/>
      </c>
      <c r="HH86" s="55" t="str">
        <f t="shared" si="27"/>
        <v/>
      </c>
      <c r="HI86" s="55" t="str">
        <f t="shared" si="27"/>
        <v/>
      </c>
      <c r="HJ86" s="55" t="str">
        <f t="shared" si="27"/>
        <v/>
      </c>
      <c r="HK86" s="55" t="str">
        <f t="shared" si="27"/>
        <v/>
      </c>
      <c r="HL86" s="55" t="str">
        <f t="shared" si="27"/>
        <v/>
      </c>
      <c r="HM86" s="55" t="str">
        <f t="shared" si="27"/>
        <v/>
      </c>
      <c r="HN86" s="55" t="str">
        <f t="shared" si="27"/>
        <v/>
      </c>
      <c r="HO86" s="55" t="str">
        <f t="shared" si="27"/>
        <v/>
      </c>
      <c r="HP86" s="55" t="str">
        <f t="shared" si="27"/>
        <v/>
      </c>
      <c r="HQ86" s="55" t="str">
        <f t="shared" si="27"/>
        <v/>
      </c>
      <c r="HR86" s="55" t="str">
        <f t="shared" si="27"/>
        <v/>
      </c>
      <c r="HS86" s="55" t="str">
        <f t="shared" si="27"/>
        <v/>
      </c>
      <c r="HT86" s="55" t="str">
        <f t="shared" si="27"/>
        <v/>
      </c>
      <c r="HU86" s="55" t="str">
        <f t="shared" si="27"/>
        <v/>
      </c>
      <c r="HV86" s="55" t="str">
        <f t="shared" si="27"/>
        <v/>
      </c>
      <c r="HW86" s="55" t="str">
        <f t="shared" si="27"/>
        <v/>
      </c>
      <c r="HX86" s="55" t="str">
        <f t="shared" si="27"/>
        <v/>
      </c>
      <c r="HY86" s="55" t="str">
        <f t="shared" si="27"/>
        <v/>
      </c>
      <c r="HZ86" s="55" t="str">
        <f t="shared" si="27"/>
        <v/>
      </c>
      <c r="IA86" s="55" t="str">
        <f t="shared" si="27"/>
        <v/>
      </c>
      <c r="IB86" s="55" t="str">
        <f t="shared" si="27"/>
        <v/>
      </c>
      <c r="IC86" s="55" t="str">
        <f t="shared" si="27"/>
        <v/>
      </c>
      <c r="ID86" s="55"/>
      <c r="IE86" s="55"/>
      <c r="IF86" s="55"/>
      <c r="IG86" s="55"/>
      <c r="IH86" s="55"/>
      <c r="II86" s="55"/>
      <c r="IJ86" s="55"/>
      <c r="IK86" s="55"/>
      <c r="IL86" s="55"/>
      <c r="IM86" s="55"/>
      <c r="IN86" s="55"/>
      <c r="IO86" s="55"/>
      <c r="IP86" s="55"/>
      <c r="IQ86" s="55"/>
      <c r="IR86" s="55"/>
      <c r="IS86" s="55"/>
      <c r="IT86" s="55"/>
      <c r="IU86" s="55"/>
      <c r="IV86" s="55"/>
      <c r="IW86" s="55"/>
      <c r="IX86" s="55"/>
      <c r="IY86" s="55"/>
      <c r="IZ86" s="55"/>
      <c r="JA86" s="55"/>
      <c r="JB86" s="55"/>
      <c r="JC86" s="55"/>
      <c r="JD86" s="55"/>
      <c r="JE86" s="55"/>
      <c r="JF86" s="55"/>
      <c r="JG86" s="55"/>
      <c r="JH86" s="55"/>
      <c r="JI86" s="55"/>
      <c r="JJ86" s="55"/>
      <c r="JK86" s="55"/>
      <c r="JL86" s="55"/>
      <c r="JM86" s="55"/>
    </row>
    <row r="87" spans="1:273" s="2" customFormat="1">
      <c r="A87" s="54"/>
      <c r="B87" s="54"/>
      <c r="C87" s="54"/>
      <c r="D87" s="54"/>
      <c r="E87" s="54"/>
      <c r="F87" s="54"/>
      <c r="G87" s="54">
        <v>-5</v>
      </c>
      <c r="H87" s="54">
        <v>-4</v>
      </c>
      <c r="I87" s="54">
        <v>-3</v>
      </c>
      <c r="J87" s="54">
        <v>-2</v>
      </c>
      <c r="K87" s="54">
        <v>-1</v>
      </c>
      <c r="L87" s="54">
        <v>0</v>
      </c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</row>
    <row r="88" spans="1:273" ht="66.75" customHeight="1">
      <c r="A88" s="78" t="s">
        <v>26</v>
      </c>
      <c r="B88" s="78" t="s">
        <v>27</v>
      </c>
      <c r="C88" s="78" t="s">
        <v>28</v>
      </c>
      <c r="D88" s="78" t="s">
        <v>29</v>
      </c>
      <c r="E88" s="78" t="s">
        <v>30</v>
      </c>
      <c r="F88" s="79" t="s">
        <v>31</v>
      </c>
      <c r="G88" s="39" t="e">
        <f>+H88-1</f>
        <v>#REF!</v>
      </c>
      <c r="H88" s="39" t="e">
        <f>+I88-1</f>
        <v>#REF!</v>
      </c>
      <c r="I88" s="39" t="e">
        <f>+J88-1</f>
        <v>#REF!</v>
      </c>
      <c r="J88" s="39" t="e">
        <f>+K88-1</f>
        <v>#REF!</v>
      </c>
      <c r="K88" s="39" t="e">
        <f>+L88-1</f>
        <v>#REF!</v>
      </c>
      <c r="L88" s="40" t="e">
        <f>B86</f>
        <v>#REF!</v>
      </c>
      <c r="M88" t="str">
        <f>+IF(M87&gt;0,$L$88+M87,"")</f>
        <v/>
      </c>
      <c r="N88" t="str">
        <f t="shared" ref="N88:BY88" si="28">+IF(N87&gt;0,$L$88+N87,"")</f>
        <v/>
      </c>
      <c r="O88" t="str">
        <f t="shared" si="28"/>
        <v/>
      </c>
      <c r="P88" t="str">
        <f t="shared" si="28"/>
        <v/>
      </c>
      <c r="Q88" t="str">
        <f t="shared" si="28"/>
        <v/>
      </c>
      <c r="R88" t="str">
        <f t="shared" si="28"/>
        <v/>
      </c>
      <c r="S88" t="str">
        <f t="shared" si="28"/>
        <v/>
      </c>
      <c r="T88" t="str">
        <f t="shared" si="28"/>
        <v/>
      </c>
      <c r="U88" t="str">
        <f t="shared" si="28"/>
        <v/>
      </c>
      <c r="V88" t="str">
        <f t="shared" si="28"/>
        <v/>
      </c>
      <c r="W88" t="str">
        <f t="shared" si="28"/>
        <v/>
      </c>
      <c r="X88" t="str">
        <f t="shared" si="28"/>
        <v/>
      </c>
      <c r="Y88" t="str">
        <f t="shared" si="28"/>
        <v/>
      </c>
      <c r="Z88" t="str">
        <f t="shared" si="28"/>
        <v/>
      </c>
      <c r="AA88" t="str">
        <f t="shared" si="28"/>
        <v/>
      </c>
      <c r="AB88" t="str">
        <f t="shared" si="28"/>
        <v/>
      </c>
      <c r="AC88" t="str">
        <f t="shared" si="28"/>
        <v/>
      </c>
      <c r="AD88" t="str">
        <f t="shared" si="28"/>
        <v/>
      </c>
      <c r="AE88" t="str">
        <f t="shared" si="28"/>
        <v/>
      </c>
      <c r="AF88" t="str">
        <f t="shared" si="28"/>
        <v/>
      </c>
      <c r="AG88" t="str">
        <f t="shared" si="28"/>
        <v/>
      </c>
      <c r="AH88" t="str">
        <f t="shared" si="28"/>
        <v/>
      </c>
      <c r="AI88" t="str">
        <f t="shared" si="28"/>
        <v/>
      </c>
      <c r="AJ88" t="str">
        <f t="shared" si="28"/>
        <v/>
      </c>
      <c r="AK88" t="str">
        <f t="shared" si="28"/>
        <v/>
      </c>
      <c r="AL88" t="str">
        <f t="shared" si="28"/>
        <v/>
      </c>
      <c r="AM88" t="str">
        <f t="shared" si="28"/>
        <v/>
      </c>
      <c r="AN88" t="str">
        <f t="shared" si="28"/>
        <v/>
      </c>
      <c r="AO88" t="str">
        <f t="shared" si="28"/>
        <v/>
      </c>
      <c r="AP88" t="str">
        <f t="shared" si="28"/>
        <v/>
      </c>
      <c r="AQ88" t="str">
        <f t="shared" si="28"/>
        <v/>
      </c>
      <c r="AR88" t="str">
        <f t="shared" si="28"/>
        <v/>
      </c>
      <c r="AS88" t="str">
        <f t="shared" si="28"/>
        <v/>
      </c>
      <c r="AT88" t="str">
        <f t="shared" si="28"/>
        <v/>
      </c>
      <c r="AU88" t="str">
        <f t="shared" si="28"/>
        <v/>
      </c>
      <c r="AV88" t="str">
        <f t="shared" si="28"/>
        <v/>
      </c>
      <c r="AW88" t="str">
        <f t="shared" si="28"/>
        <v/>
      </c>
      <c r="AX88" t="str">
        <f t="shared" si="28"/>
        <v/>
      </c>
      <c r="AY88" t="str">
        <f t="shared" si="28"/>
        <v/>
      </c>
      <c r="AZ88" t="str">
        <f t="shared" si="28"/>
        <v/>
      </c>
      <c r="BA88" t="str">
        <f t="shared" si="28"/>
        <v/>
      </c>
      <c r="BB88" t="str">
        <f t="shared" si="28"/>
        <v/>
      </c>
      <c r="BC88" t="str">
        <f t="shared" si="28"/>
        <v/>
      </c>
      <c r="BD88" t="str">
        <f t="shared" si="28"/>
        <v/>
      </c>
      <c r="BE88" t="str">
        <f t="shared" si="28"/>
        <v/>
      </c>
      <c r="BF88" t="str">
        <f t="shared" si="28"/>
        <v/>
      </c>
      <c r="BG88" t="str">
        <f t="shared" si="28"/>
        <v/>
      </c>
      <c r="BH88" t="str">
        <f t="shared" si="28"/>
        <v/>
      </c>
      <c r="BI88" t="str">
        <f t="shared" si="28"/>
        <v/>
      </c>
      <c r="BJ88" t="str">
        <f t="shared" si="28"/>
        <v/>
      </c>
      <c r="BK88" t="str">
        <f t="shared" si="28"/>
        <v/>
      </c>
      <c r="BL88" t="str">
        <f t="shared" si="28"/>
        <v/>
      </c>
      <c r="BM88" t="str">
        <f t="shared" si="28"/>
        <v/>
      </c>
      <c r="BN88" t="str">
        <f t="shared" si="28"/>
        <v/>
      </c>
      <c r="BO88" t="str">
        <f t="shared" si="28"/>
        <v/>
      </c>
      <c r="BP88" t="str">
        <f t="shared" si="28"/>
        <v/>
      </c>
      <c r="BQ88" t="str">
        <f t="shared" si="28"/>
        <v/>
      </c>
      <c r="BR88" t="str">
        <f t="shared" si="28"/>
        <v/>
      </c>
      <c r="BS88" t="str">
        <f t="shared" si="28"/>
        <v/>
      </c>
      <c r="BT88" t="str">
        <f t="shared" si="28"/>
        <v/>
      </c>
      <c r="BU88" t="str">
        <f t="shared" si="28"/>
        <v/>
      </c>
      <c r="BV88" t="str">
        <f t="shared" si="28"/>
        <v/>
      </c>
      <c r="BW88" t="str">
        <f t="shared" si="28"/>
        <v/>
      </c>
      <c r="BX88" t="str">
        <f t="shared" si="28"/>
        <v/>
      </c>
      <c r="BY88" t="str">
        <f t="shared" si="28"/>
        <v/>
      </c>
      <c r="BZ88" t="str">
        <f t="shared" ref="BZ88:EK88" si="29">+IF(BZ87&gt;0,$L$88+BZ87,"")</f>
        <v/>
      </c>
      <c r="CA88" t="str">
        <f t="shared" si="29"/>
        <v/>
      </c>
      <c r="CB88" t="str">
        <f t="shared" si="29"/>
        <v/>
      </c>
      <c r="CC88" t="str">
        <f t="shared" si="29"/>
        <v/>
      </c>
      <c r="CD88" t="str">
        <f t="shared" si="29"/>
        <v/>
      </c>
      <c r="CE88" t="str">
        <f t="shared" si="29"/>
        <v/>
      </c>
      <c r="CF88" t="str">
        <f t="shared" si="29"/>
        <v/>
      </c>
      <c r="CG88" t="str">
        <f t="shared" si="29"/>
        <v/>
      </c>
      <c r="CH88" t="str">
        <f t="shared" si="29"/>
        <v/>
      </c>
      <c r="CI88" t="str">
        <f t="shared" si="29"/>
        <v/>
      </c>
      <c r="CJ88" t="str">
        <f t="shared" si="29"/>
        <v/>
      </c>
      <c r="CK88" t="str">
        <f t="shared" si="29"/>
        <v/>
      </c>
      <c r="CL88" t="str">
        <f t="shared" si="29"/>
        <v/>
      </c>
      <c r="CM88" t="str">
        <f t="shared" si="29"/>
        <v/>
      </c>
      <c r="CN88" t="str">
        <f t="shared" si="29"/>
        <v/>
      </c>
      <c r="CO88" t="str">
        <f t="shared" si="29"/>
        <v/>
      </c>
      <c r="CP88" t="str">
        <f t="shared" si="29"/>
        <v/>
      </c>
      <c r="CQ88" t="str">
        <f t="shared" si="29"/>
        <v/>
      </c>
      <c r="CR88" t="str">
        <f t="shared" si="29"/>
        <v/>
      </c>
      <c r="CS88" t="str">
        <f t="shared" si="29"/>
        <v/>
      </c>
      <c r="CT88" t="str">
        <f t="shared" si="29"/>
        <v/>
      </c>
      <c r="CU88" t="str">
        <f t="shared" si="29"/>
        <v/>
      </c>
      <c r="CV88" t="str">
        <f t="shared" si="29"/>
        <v/>
      </c>
      <c r="CW88" t="str">
        <f t="shared" si="29"/>
        <v/>
      </c>
      <c r="CX88" t="str">
        <f t="shared" si="29"/>
        <v/>
      </c>
      <c r="CY88" t="str">
        <f t="shared" si="29"/>
        <v/>
      </c>
      <c r="CZ88" t="str">
        <f t="shared" si="29"/>
        <v/>
      </c>
      <c r="DA88" t="str">
        <f t="shared" si="29"/>
        <v/>
      </c>
      <c r="DB88" t="str">
        <f t="shared" si="29"/>
        <v/>
      </c>
      <c r="DC88" t="str">
        <f t="shared" si="29"/>
        <v/>
      </c>
      <c r="DD88" t="str">
        <f t="shared" si="29"/>
        <v/>
      </c>
      <c r="DE88" t="str">
        <f t="shared" si="29"/>
        <v/>
      </c>
      <c r="DF88" t="str">
        <f t="shared" si="29"/>
        <v/>
      </c>
      <c r="DG88" t="str">
        <f t="shared" si="29"/>
        <v/>
      </c>
      <c r="DH88" t="str">
        <f t="shared" si="29"/>
        <v/>
      </c>
      <c r="DI88" t="str">
        <f t="shared" si="29"/>
        <v/>
      </c>
      <c r="DJ88" t="str">
        <f t="shared" si="29"/>
        <v/>
      </c>
      <c r="DK88" t="str">
        <f t="shared" si="29"/>
        <v/>
      </c>
      <c r="DL88" t="str">
        <f t="shared" si="29"/>
        <v/>
      </c>
      <c r="DM88" t="str">
        <f t="shared" si="29"/>
        <v/>
      </c>
      <c r="DN88" t="str">
        <f t="shared" si="29"/>
        <v/>
      </c>
      <c r="DO88" t="str">
        <f t="shared" si="29"/>
        <v/>
      </c>
      <c r="DP88" t="str">
        <f t="shared" si="29"/>
        <v/>
      </c>
      <c r="DQ88" t="str">
        <f t="shared" si="29"/>
        <v/>
      </c>
      <c r="DR88" t="str">
        <f t="shared" si="29"/>
        <v/>
      </c>
      <c r="DS88" t="str">
        <f t="shared" si="29"/>
        <v/>
      </c>
      <c r="DT88" t="str">
        <f t="shared" si="29"/>
        <v/>
      </c>
      <c r="DU88" t="str">
        <f t="shared" si="29"/>
        <v/>
      </c>
      <c r="DV88" t="str">
        <f t="shared" si="29"/>
        <v/>
      </c>
      <c r="DW88" t="str">
        <f t="shared" si="29"/>
        <v/>
      </c>
      <c r="DX88" t="str">
        <f t="shared" si="29"/>
        <v/>
      </c>
      <c r="DY88" t="str">
        <f t="shared" si="29"/>
        <v/>
      </c>
      <c r="DZ88" t="str">
        <f t="shared" si="29"/>
        <v/>
      </c>
      <c r="EA88" t="str">
        <f t="shared" si="29"/>
        <v/>
      </c>
      <c r="EB88" t="str">
        <f t="shared" si="29"/>
        <v/>
      </c>
      <c r="EC88" t="str">
        <f t="shared" si="29"/>
        <v/>
      </c>
      <c r="ED88" t="str">
        <f t="shared" si="29"/>
        <v/>
      </c>
      <c r="EE88" t="str">
        <f t="shared" si="29"/>
        <v/>
      </c>
      <c r="EF88" t="str">
        <f t="shared" si="29"/>
        <v/>
      </c>
      <c r="EG88" t="str">
        <f t="shared" si="29"/>
        <v/>
      </c>
      <c r="EH88" t="str">
        <f t="shared" si="29"/>
        <v/>
      </c>
      <c r="EI88" t="str">
        <f t="shared" si="29"/>
        <v/>
      </c>
      <c r="EJ88" t="str">
        <f t="shared" si="29"/>
        <v/>
      </c>
      <c r="EK88" t="str">
        <f t="shared" si="29"/>
        <v/>
      </c>
      <c r="EL88" t="str">
        <f t="shared" ref="EL88:GW88" si="30">+IF(EL87&gt;0,$L$88+EL87,"")</f>
        <v/>
      </c>
      <c r="EM88" t="str">
        <f t="shared" si="30"/>
        <v/>
      </c>
      <c r="EN88" t="str">
        <f t="shared" si="30"/>
        <v/>
      </c>
      <c r="EO88" t="str">
        <f t="shared" si="30"/>
        <v/>
      </c>
      <c r="EP88" t="str">
        <f t="shared" si="30"/>
        <v/>
      </c>
      <c r="EQ88" t="str">
        <f t="shared" si="30"/>
        <v/>
      </c>
      <c r="ER88" t="str">
        <f t="shared" si="30"/>
        <v/>
      </c>
      <c r="ES88" t="str">
        <f t="shared" si="30"/>
        <v/>
      </c>
      <c r="ET88" t="str">
        <f t="shared" si="30"/>
        <v/>
      </c>
      <c r="EU88" t="str">
        <f t="shared" si="30"/>
        <v/>
      </c>
      <c r="EV88" t="str">
        <f t="shared" si="30"/>
        <v/>
      </c>
      <c r="EW88" t="str">
        <f t="shared" si="30"/>
        <v/>
      </c>
      <c r="EX88" t="str">
        <f t="shared" si="30"/>
        <v/>
      </c>
      <c r="EY88" t="str">
        <f t="shared" si="30"/>
        <v/>
      </c>
      <c r="EZ88" t="str">
        <f t="shared" si="30"/>
        <v/>
      </c>
      <c r="FA88" t="str">
        <f t="shared" si="30"/>
        <v/>
      </c>
      <c r="FB88" t="str">
        <f t="shared" si="30"/>
        <v/>
      </c>
      <c r="FC88" t="str">
        <f t="shared" si="30"/>
        <v/>
      </c>
      <c r="FD88" t="str">
        <f t="shared" si="30"/>
        <v/>
      </c>
      <c r="FE88" t="str">
        <f t="shared" si="30"/>
        <v/>
      </c>
      <c r="FF88" t="str">
        <f t="shared" si="30"/>
        <v/>
      </c>
      <c r="FG88" t="str">
        <f t="shared" si="30"/>
        <v/>
      </c>
      <c r="FH88" t="str">
        <f t="shared" si="30"/>
        <v/>
      </c>
      <c r="FI88" t="str">
        <f t="shared" si="30"/>
        <v/>
      </c>
      <c r="FJ88" t="str">
        <f t="shared" si="30"/>
        <v/>
      </c>
      <c r="FK88" t="str">
        <f t="shared" si="30"/>
        <v/>
      </c>
      <c r="FL88" t="str">
        <f t="shared" si="30"/>
        <v/>
      </c>
      <c r="FM88" t="str">
        <f t="shared" si="30"/>
        <v/>
      </c>
      <c r="FN88" t="str">
        <f t="shared" si="30"/>
        <v/>
      </c>
      <c r="FO88" t="str">
        <f t="shared" si="30"/>
        <v/>
      </c>
      <c r="FP88" t="str">
        <f t="shared" si="30"/>
        <v/>
      </c>
      <c r="FQ88" t="str">
        <f t="shared" si="30"/>
        <v/>
      </c>
      <c r="FR88" t="str">
        <f t="shared" si="30"/>
        <v/>
      </c>
      <c r="FS88" t="str">
        <f t="shared" si="30"/>
        <v/>
      </c>
      <c r="FT88" t="str">
        <f t="shared" si="30"/>
        <v/>
      </c>
      <c r="FU88" t="str">
        <f t="shared" si="30"/>
        <v/>
      </c>
      <c r="FV88" t="str">
        <f t="shared" si="30"/>
        <v/>
      </c>
      <c r="FW88" t="str">
        <f t="shared" si="30"/>
        <v/>
      </c>
      <c r="FX88" t="str">
        <f t="shared" si="30"/>
        <v/>
      </c>
      <c r="FY88" t="str">
        <f t="shared" si="30"/>
        <v/>
      </c>
      <c r="FZ88" t="str">
        <f t="shared" si="30"/>
        <v/>
      </c>
      <c r="GA88" t="str">
        <f t="shared" si="30"/>
        <v/>
      </c>
      <c r="GB88" t="str">
        <f t="shared" si="30"/>
        <v/>
      </c>
      <c r="GC88" t="str">
        <f t="shared" si="30"/>
        <v/>
      </c>
      <c r="GD88" t="str">
        <f t="shared" si="30"/>
        <v/>
      </c>
      <c r="GE88" t="str">
        <f t="shared" si="30"/>
        <v/>
      </c>
      <c r="GF88" t="str">
        <f t="shared" si="30"/>
        <v/>
      </c>
      <c r="GG88" t="str">
        <f t="shared" si="30"/>
        <v/>
      </c>
      <c r="GH88" t="str">
        <f t="shared" si="30"/>
        <v/>
      </c>
      <c r="GI88" t="str">
        <f t="shared" si="30"/>
        <v/>
      </c>
      <c r="GJ88" t="str">
        <f t="shared" si="30"/>
        <v/>
      </c>
      <c r="GK88" t="str">
        <f t="shared" si="30"/>
        <v/>
      </c>
      <c r="GL88" t="str">
        <f t="shared" si="30"/>
        <v/>
      </c>
      <c r="GM88" t="str">
        <f t="shared" si="30"/>
        <v/>
      </c>
      <c r="GN88" t="str">
        <f t="shared" si="30"/>
        <v/>
      </c>
      <c r="GO88" t="str">
        <f t="shared" si="30"/>
        <v/>
      </c>
      <c r="GP88" t="str">
        <f t="shared" si="30"/>
        <v/>
      </c>
      <c r="GQ88" t="str">
        <f t="shared" si="30"/>
        <v/>
      </c>
      <c r="GR88" t="str">
        <f t="shared" si="30"/>
        <v/>
      </c>
      <c r="GS88" t="str">
        <f t="shared" si="30"/>
        <v/>
      </c>
      <c r="GT88" t="str">
        <f t="shared" si="30"/>
        <v/>
      </c>
      <c r="GU88" t="str">
        <f t="shared" si="30"/>
        <v/>
      </c>
      <c r="GV88" t="str">
        <f t="shared" si="30"/>
        <v/>
      </c>
      <c r="GW88" t="str">
        <f t="shared" si="30"/>
        <v/>
      </c>
      <c r="GX88" t="str">
        <f t="shared" ref="GX88:II88" si="31">+IF(GX87&gt;0,$L$88+GX87,"")</f>
        <v/>
      </c>
      <c r="GY88" t="str">
        <f t="shared" si="31"/>
        <v/>
      </c>
      <c r="GZ88" t="str">
        <f t="shared" si="31"/>
        <v/>
      </c>
      <c r="HA88" t="str">
        <f t="shared" si="31"/>
        <v/>
      </c>
      <c r="HB88" t="str">
        <f t="shared" si="31"/>
        <v/>
      </c>
      <c r="HC88" t="str">
        <f t="shared" si="31"/>
        <v/>
      </c>
      <c r="HD88" t="str">
        <f t="shared" si="31"/>
        <v/>
      </c>
      <c r="HE88" t="str">
        <f t="shared" si="31"/>
        <v/>
      </c>
      <c r="HF88" t="str">
        <f t="shared" si="31"/>
        <v/>
      </c>
      <c r="HG88" t="str">
        <f t="shared" si="31"/>
        <v/>
      </c>
      <c r="HH88" t="str">
        <f t="shared" si="31"/>
        <v/>
      </c>
      <c r="HI88" t="str">
        <f t="shared" si="31"/>
        <v/>
      </c>
      <c r="HJ88" t="str">
        <f t="shared" si="31"/>
        <v/>
      </c>
      <c r="HK88" t="str">
        <f t="shared" si="31"/>
        <v/>
      </c>
      <c r="HL88" t="str">
        <f t="shared" si="31"/>
        <v/>
      </c>
      <c r="HM88" t="str">
        <f t="shared" si="31"/>
        <v/>
      </c>
      <c r="HN88" t="str">
        <f t="shared" si="31"/>
        <v/>
      </c>
      <c r="HO88" t="str">
        <f t="shared" si="31"/>
        <v/>
      </c>
      <c r="HP88" t="str">
        <f t="shared" si="31"/>
        <v/>
      </c>
      <c r="HQ88" t="str">
        <f t="shared" si="31"/>
        <v/>
      </c>
      <c r="HR88" t="str">
        <f t="shared" si="31"/>
        <v/>
      </c>
      <c r="HS88" t="str">
        <f t="shared" si="31"/>
        <v/>
      </c>
      <c r="HT88" t="str">
        <f t="shared" si="31"/>
        <v/>
      </c>
      <c r="HU88" t="str">
        <f t="shared" si="31"/>
        <v/>
      </c>
      <c r="HV88" t="str">
        <f t="shared" si="31"/>
        <v/>
      </c>
      <c r="HW88" t="str">
        <f t="shared" si="31"/>
        <v/>
      </c>
      <c r="HX88" t="str">
        <f t="shared" si="31"/>
        <v/>
      </c>
      <c r="HY88" t="str">
        <f t="shared" si="31"/>
        <v/>
      </c>
      <c r="HZ88" t="str">
        <f t="shared" si="31"/>
        <v/>
      </c>
      <c r="IA88" t="str">
        <f t="shared" si="31"/>
        <v/>
      </c>
      <c r="IB88" t="str">
        <f t="shared" si="31"/>
        <v/>
      </c>
      <c r="IC88" t="str">
        <f t="shared" si="31"/>
        <v/>
      </c>
      <c r="ID88" t="str">
        <f t="shared" si="31"/>
        <v/>
      </c>
      <c r="IE88" t="str">
        <f t="shared" si="31"/>
        <v/>
      </c>
      <c r="IF88" t="str">
        <f t="shared" si="31"/>
        <v/>
      </c>
      <c r="IG88" t="str">
        <f t="shared" si="31"/>
        <v/>
      </c>
      <c r="IH88" t="str">
        <f t="shared" si="31"/>
        <v/>
      </c>
      <c r="II88" t="str">
        <f t="shared" si="31"/>
        <v/>
      </c>
    </row>
    <row r="89" spans="1:273">
      <c r="A89" s="42" t="e">
        <f>+IF($B$84=#REF!,#REF!,"")</f>
        <v>#REF!</v>
      </c>
      <c r="B89" s="42" t="e">
        <f>+IF($B$84=#REF!,#REF!,"")</f>
        <v>#REF!</v>
      </c>
      <c r="C89" s="42" t="e">
        <f>+IF($B$84=#REF!,#REF!,"")</f>
        <v>#REF!</v>
      </c>
      <c r="D89" s="42" t="e">
        <f>+IF($B$84=#REF!,#REF!,"")</f>
        <v>#REF!</v>
      </c>
      <c r="E89" s="42" t="e">
        <f>+IF($B$84=#REF!,#REF!,"")</f>
        <v>#REF!</v>
      </c>
      <c r="F89" s="42" t="e">
        <f>+IF($B$84=#REF!,#REF!,"")</f>
        <v>#REF!</v>
      </c>
      <c r="G89" s="64"/>
      <c r="H89" s="64"/>
      <c r="I89" s="64"/>
      <c r="J89" s="64"/>
      <c r="K89" s="64"/>
      <c r="L89" s="64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BP89" s="68"/>
      <c r="BQ89" s="68"/>
      <c r="BR89" s="68"/>
      <c r="BS89" s="68"/>
      <c r="BT89" s="68"/>
      <c r="BU89" s="68"/>
      <c r="BV89" s="68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</row>
    <row r="90" spans="1:273">
      <c r="A90" s="42" t="e">
        <f>+IF($B$84=#REF!,#REF!,"")</f>
        <v>#REF!</v>
      </c>
      <c r="B90" s="42" t="e">
        <f>+IF($B$84=#REF!,#REF!,"")</f>
        <v>#REF!</v>
      </c>
      <c r="C90" s="42" t="e">
        <f>+IF($B$84=#REF!,#REF!,"")</f>
        <v>#REF!</v>
      </c>
      <c r="D90" s="42" t="e">
        <f>+IF($B$84=#REF!,#REF!,"")</f>
        <v>#REF!</v>
      </c>
      <c r="E90" s="42" t="e">
        <f>+IF($B$84=#REF!,#REF!,"")</f>
        <v>#REF!</v>
      </c>
      <c r="F90" s="42" t="e">
        <f>+IF($B$84=#REF!,#REF!,"")</f>
        <v>#REF!</v>
      </c>
      <c r="G90" s="64"/>
      <c r="H90" s="64"/>
      <c r="I90" s="64"/>
      <c r="J90" s="64"/>
      <c r="K90" s="64"/>
      <c r="L90" s="64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BP90" s="68"/>
      <c r="BQ90" s="68"/>
      <c r="BR90" s="68"/>
      <c r="BS90" s="68"/>
      <c r="BT90" s="68"/>
      <c r="BU90" s="68"/>
      <c r="BV90" s="68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</row>
    <row r="91" spans="1:273">
      <c r="A91" s="42" t="e">
        <f>+IF($B$84=#REF!,#REF!,"")</f>
        <v>#REF!</v>
      </c>
      <c r="B91" s="42" t="e">
        <f>+IF($B$84=#REF!,#REF!,"")</f>
        <v>#REF!</v>
      </c>
      <c r="C91" s="42" t="e">
        <f>+IF($B$84=#REF!,#REF!,"")</f>
        <v>#REF!</v>
      </c>
      <c r="D91" s="42" t="e">
        <f>+IF($B$84=#REF!,#REF!,"")</f>
        <v>#REF!</v>
      </c>
      <c r="E91" s="42" t="e">
        <f>+IF($B$84=#REF!,#REF!,"")</f>
        <v>#REF!</v>
      </c>
      <c r="F91" s="42" t="e">
        <f>+IF($B$84=#REF!,#REF!,"")</f>
        <v>#REF!</v>
      </c>
      <c r="G91" s="64"/>
      <c r="H91" s="64"/>
      <c r="I91" s="64"/>
      <c r="J91" s="64"/>
      <c r="K91" s="64"/>
      <c r="L91" s="64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BP91" s="68"/>
      <c r="BQ91" s="68"/>
      <c r="BR91" s="68"/>
      <c r="BS91" s="68"/>
      <c r="BT91" s="68"/>
      <c r="BU91" s="68"/>
      <c r="BV91" s="68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</row>
    <row r="92" spans="1:273">
      <c r="A92" s="42" t="e">
        <f>+IF($B$84=#REF!,#REF!,"")</f>
        <v>#REF!</v>
      </c>
      <c r="B92" s="42" t="e">
        <f>+IF($B$84=#REF!,#REF!,"")</f>
        <v>#REF!</v>
      </c>
      <c r="C92" s="42" t="e">
        <f>+IF($B$84=#REF!,#REF!,"")</f>
        <v>#REF!</v>
      </c>
      <c r="D92" s="42" t="e">
        <f>+IF($B$84=#REF!,#REF!,"")</f>
        <v>#REF!</v>
      </c>
      <c r="E92" s="42" t="e">
        <f>+IF($B$84=#REF!,#REF!,"")</f>
        <v>#REF!</v>
      </c>
      <c r="F92" s="42" t="e">
        <f>+IF($B$84=#REF!,#REF!,"")</f>
        <v>#REF!</v>
      </c>
      <c r="G92" s="64"/>
      <c r="H92" s="64"/>
      <c r="I92" s="64"/>
      <c r="J92" s="64"/>
      <c r="K92" s="64"/>
      <c r="L92" s="64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  <c r="BP92" s="68"/>
      <c r="BQ92" s="68"/>
      <c r="BR92" s="68"/>
      <c r="BS92" s="68"/>
      <c r="BT92" s="68"/>
      <c r="BU92" s="68"/>
      <c r="BV92" s="68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</row>
    <row r="93" spans="1:273">
      <c r="A93" s="42" t="e">
        <f>+IF($B$84=#REF!,#REF!,"")</f>
        <v>#REF!</v>
      </c>
      <c r="B93" s="42" t="e">
        <f>+IF($B$84=#REF!,#REF!,"")</f>
        <v>#REF!</v>
      </c>
      <c r="C93" s="42" t="e">
        <f>+IF($B$84=#REF!,#REF!,"")</f>
        <v>#REF!</v>
      </c>
      <c r="D93" s="42" t="e">
        <f>+IF($B$84=#REF!,#REF!,"")</f>
        <v>#REF!</v>
      </c>
      <c r="E93" s="42" t="e">
        <f>+IF($B$84=#REF!,#REF!,"")</f>
        <v>#REF!</v>
      </c>
      <c r="F93" s="42" t="e">
        <f>+IF($B$84=#REF!,#REF!,"")</f>
        <v>#REF!</v>
      </c>
      <c r="G93" s="64"/>
      <c r="H93" s="64"/>
      <c r="I93" s="64"/>
      <c r="J93" s="64"/>
      <c r="K93" s="64"/>
      <c r="L93" s="64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  <c r="BM93" s="68"/>
      <c r="BN93" s="68"/>
      <c r="BO93" s="68"/>
      <c r="BP93" s="68"/>
      <c r="BQ93" s="68"/>
      <c r="BR93" s="68"/>
      <c r="BS93" s="68"/>
      <c r="BT93" s="68"/>
      <c r="BU93" s="68"/>
      <c r="BV93" s="68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</row>
    <row r="94" spans="1:273">
      <c r="A94" s="49"/>
      <c r="B94" s="49"/>
      <c r="C94" s="49"/>
      <c r="D94" s="49"/>
      <c r="E94" s="49"/>
      <c r="F94" s="49"/>
      <c r="G94" s="64"/>
      <c r="H94" s="64"/>
      <c r="I94" s="64"/>
      <c r="J94" s="64"/>
      <c r="K94" s="64"/>
      <c r="L94" s="64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  <c r="BK94" s="68"/>
      <c r="BL94" s="68"/>
      <c r="BM94" s="68"/>
      <c r="BN94" s="68"/>
      <c r="BO94" s="68"/>
      <c r="BP94" s="68"/>
      <c r="BQ94" s="68"/>
      <c r="BR94" s="68"/>
      <c r="BS94" s="68"/>
      <c r="BT94" s="68"/>
      <c r="BU94" s="68"/>
      <c r="BV94" s="68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</row>
    <row r="95" spans="1:273">
      <c r="A95" s="66" t="s">
        <v>32</v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</row>
    <row r="96" spans="1:273">
      <c r="A96" s="275" t="s">
        <v>33</v>
      </c>
      <c r="B96" s="275"/>
      <c r="C96" s="275"/>
      <c r="D96" s="275"/>
      <c r="E96" s="275"/>
      <c r="F96" s="65" t="e">
        <f>+B86</f>
        <v>#REF!</v>
      </c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  <c r="DY96" s="63"/>
      <c r="DZ96" s="63"/>
      <c r="EA96" s="63"/>
      <c r="EB96" s="63"/>
      <c r="EC96" s="63"/>
      <c r="ED96" s="63"/>
      <c r="EE96" s="63"/>
      <c r="EF96" s="63"/>
      <c r="EG96" s="63"/>
      <c r="EH96" s="63"/>
      <c r="EI96" s="63"/>
      <c r="EJ96" s="63"/>
      <c r="EK96" s="63"/>
      <c r="EL96" s="63"/>
      <c r="EM96" s="63"/>
      <c r="EN96" s="63"/>
      <c r="EO96" s="63"/>
      <c r="EP96" s="63"/>
      <c r="EQ96" s="63"/>
      <c r="ER96" s="63"/>
      <c r="ES96" s="63"/>
      <c r="ET96" s="63"/>
      <c r="EU96" s="63"/>
      <c r="EV96" s="63"/>
      <c r="EW96" s="63"/>
      <c r="EX96" s="63"/>
      <c r="EY96" s="63"/>
      <c r="EZ96" s="63"/>
      <c r="FA96" s="63"/>
      <c r="FB96" s="63"/>
      <c r="FC96" s="63"/>
      <c r="FD96" s="63"/>
      <c r="FE96" s="63"/>
      <c r="FF96" s="63"/>
      <c r="FG96" s="63"/>
      <c r="FH96" s="63"/>
      <c r="FI96" s="63"/>
      <c r="FJ96" s="63"/>
      <c r="FK96" s="63"/>
      <c r="FL96" s="63"/>
      <c r="FM96" s="63"/>
    </row>
    <row r="101" spans="1:144">
      <c r="A101" s="66" t="s">
        <v>34</v>
      </c>
    </row>
    <row r="102" spans="1:144" ht="25.5">
      <c r="A102" s="41" t="s">
        <v>26</v>
      </c>
      <c r="B102" s="41" t="s">
        <v>27</v>
      </c>
      <c r="C102" s="41" t="s">
        <v>28</v>
      </c>
      <c r="D102" s="41" t="s">
        <v>29</v>
      </c>
      <c r="E102" s="41" t="s">
        <v>30</v>
      </c>
      <c r="F102" s="41" t="s">
        <v>31</v>
      </c>
    </row>
    <row r="103" spans="1:144">
      <c r="A103" s="70"/>
      <c r="B103" s="70"/>
      <c r="C103" s="70"/>
      <c r="D103" s="70"/>
      <c r="E103" s="70"/>
      <c r="F103" s="70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</row>
    <row r="104" spans="1:144">
      <c r="A104" s="70"/>
      <c r="B104" s="70"/>
      <c r="C104" s="70"/>
      <c r="D104" s="70"/>
      <c r="E104" s="70"/>
      <c r="F104" s="70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</row>
    <row r="105" spans="1:144">
      <c r="A105" s="70"/>
      <c r="B105" s="70"/>
      <c r="C105" s="70"/>
      <c r="D105" s="70"/>
      <c r="E105" s="70"/>
      <c r="F105" s="70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</row>
    <row r="106" spans="1:144">
      <c r="A106" s="70"/>
      <c r="B106" s="70"/>
      <c r="C106" s="70"/>
      <c r="D106" s="70"/>
      <c r="E106" s="70"/>
      <c r="F106" s="70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</row>
    <row r="107" spans="1:144">
      <c r="A107" s="70"/>
      <c r="B107" s="70"/>
      <c r="C107" s="70"/>
      <c r="D107" s="70"/>
      <c r="E107" s="70"/>
      <c r="F107" s="70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</row>
    <row r="108" spans="1:144">
      <c r="A108" s="70"/>
      <c r="B108" s="70"/>
      <c r="C108" s="70"/>
      <c r="D108" s="70"/>
      <c r="E108" s="70"/>
      <c r="F108" s="70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</row>
    <row r="109" spans="1:144">
      <c r="A109" s="70"/>
      <c r="B109" s="70"/>
      <c r="C109" s="70"/>
      <c r="D109" s="70"/>
      <c r="E109" s="70"/>
      <c r="F109" s="70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</row>
    <row r="110" spans="1:144">
      <c r="A110" s="70"/>
      <c r="B110" s="70"/>
      <c r="C110" s="70"/>
      <c r="D110" s="70"/>
      <c r="E110" s="70"/>
      <c r="F110" s="70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</row>
    <row r="111" spans="1:144">
      <c r="A111" s="11"/>
      <c r="B111" s="11"/>
      <c r="C111" s="11"/>
      <c r="D111" s="11"/>
      <c r="E111" s="11"/>
      <c r="F111" s="11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</row>
    <row r="113" spans="1:237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</row>
    <row r="114" spans="1:237">
      <c r="A114" s="276" t="s">
        <v>37</v>
      </c>
      <c r="B114" s="276"/>
    </row>
    <row r="116" spans="1:237">
      <c r="A116" s="44" t="s">
        <v>38</v>
      </c>
      <c r="B116" s="42" t="e">
        <f>+#REF!</f>
        <v>#REF!</v>
      </c>
    </row>
    <row r="117" spans="1:237" ht="57.75">
      <c r="A117" s="57" t="s">
        <v>24</v>
      </c>
      <c r="B117" s="58" t="e">
        <f>+COUNTIF(#REF!,1)</f>
        <v>#REF!</v>
      </c>
      <c r="C117" s="6"/>
      <c r="D117" s="6"/>
      <c r="E117" s="6"/>
      <c r="F117" s="59" t="s">
        <v>39</v>
      </c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60"/>
      <c r="BR117" s="60"/>
      <c r="BS117" s="60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  <c r="DN117" s="60"/>
      <c r="DO117" s="60"/>
      <c r="DP117" s="60"/>
      <c r="DQ117" s="60"/>
      <c r="DR117" s="60"/>
      <c r="DS117" s="60"/>
      <c r="DT117" s="60"/>
      <c r="DU117" s="60"/>
      <c r="DV117" s="60"/>
      <c r="DW117" s="60"/>
      <c r="DX117" s="60"/>
      <c r="DY117" s="60"/>
      <c r="DZ117" s="60"/>
      <c r="EA117" s="60"/>
      <c r="EB117" s="60"/>
      <c r="EC117" s="60"/>
      <c r="ED117" s="60"/>
      <c r="EE117" s="60"/>
      <c r="EF117" s="60"/>
      <c r="EG117" s="60"/>
      <c r="EH117" s="60"/>
      <c r="EI117" s="60"/>
      <c r="EJ117" s="60"/>
      <c r="EK117" s="60"/>
      <c r="EL117" s="60"/>
      <c r="EM117" s="60"/>
      <c r="EN117" s="60"/>
      <c r="EO117" s="60"/>
      <c r="EP117" s="60"/>
      <c r="EQ117" s="60"/>
      <c r="ER117" s="60"/>
      <c r="ES117" s="60"/>
      <c r="ET117" s="60"/>
      <c r="EU117" s="60"/>
      <c r="EV117" s="60"/>
      <c r="EW117" s="60"/>
      <c r="EX117" s="60"/>
      <c r="EY117" s="60"/>
      <c r="EZ117" s="60"/>
      <c r="FA117" s="60"/>
      <c r="FB117" s="60"/>
      <c r="FC117" s="60"/>
      <c r="FD117" s="60"/>
      <c r="FE117" s="60"/>
      <c r="FF117" s="60"/>
      <c r="FG117" s="60"/>
      <c r="FH117" s="60"/>
      <c r="FI117" s="60"/>
      <c r="FJ117" s="60"/>
      <c r="FK117" s="60"/>
      <c r="FL117" s="60"/>
      <c r="FM117" s="60"/>
      <c r="FN117" s="60"/>
      <c r="FO117" s="60"/>
      <c r="FP117" s="60"/>
      <c r="FQ117" s="60"/>
      <c r="FR117" s="60"/>
      <c r="FS117" s="60"/>
      <c r="FT117" s="60"/>
      <c r="FU117" s="60"/>
      <c r="FV117" s="60"/>
      <c r="FW117" s="60"/>
      <c r="FX117" s="60"/>
      <c r="FY117" s="60"/>
      <c r="FZ117" s="60"/>
      <c r="GA117" s="60"/>
      <c r="GB117" s="60"/>
      <c r="GC117" s="60"/>
      <c r="GD117" s="60"/>
      <c r="GE117" s="60"/>
      <c r="GF117" s="60"/>
      <c r="GG117" s="60"/>
      <c r="GH117" s="60"/>
      <c r="GI117" s="60"/>
      <c r="GJ117" s="60"/>
      <c r="GK117" s="60"/>
      <c r="GL117" s="60"/>
      <c r="GM117" s="60"/>
      <c r="GN117" s="60"/>
      <c r="GO117" s="60"/>
      <c r="GP117" s="60"/>
      <c r="GQ117" s="60"/>
      <c r="GR117" s="60"/>
      <c r="GS117" s="60"/>
      <c r="GT117" s="60"/>
      <c r="GU117" s="60"/>
      <c r="GV117" s="60"/>
      <c r="GW117" s="60"/>
      <c r="GX117" s="60"/>
      <c r="GY117" s="60"/>
      <c r="GZ117" s="60"/>
      <c r="HA117" s="60"/>
      <c r="HB117" s="60"/>
      <c r="HC117" s="60"/>
    </row>
    <row r="118" spans="1:237">
      <c r="A118" s="45" t="s">
        <v>10</v>
      </c>
      <c r="B118" s="62" t="e">
        <f>+IF(#REF!&lt;&gt;"",#REF!,"")</f>
        <v>#REF!</v>
      </c>
      <c r="C118" s="6"/>
      <c r="D118" s="6"/>
      <c r="E118" s="6"/>
      <c r="F118" s="60"/>
      <c r="G118" s="55" t="e">
        <f>IF(G120&lt;&gt;"",TEXT(G120,"ddd"),"")</f>
        <v>#REF!</v>
      </c>
      <c r="H118" s="55" t="e">
        <f t="shared" ref="H118:BS118" si="32">IF(H120&lt;&gt;"",TEXT(H120,"ddd"),"")</f>
        <v>#REF!</v>
      </c>
      <c r="I118" s="55" t="e">
        <f t="shared" si="32"/>
        <v>#REF!</v>
      </c>
      <c r="J118" s="55" t="e">
        <f t="shared" si="32"/>
        <v>#REF!</v>
      </c>
      <c r="K118" s="55" t="e">
        <f t="shared" si="32"/>
        <v>#REF!</v>
      </c>
      <c r="L118" s="55" t="e">
        <f t="shared" si="32"/>
        <v>#REF!</v>
      </c>
      <c r="M118" s="55" t="str">
        <f t="shared" si="32"/>
        <v/>
      </c>
      <c r="N118" s="55" t="str">
        <f t="shared" si="32"/>
        <v/>
      </c>
      <c r="O118" s="55" t="str">
        <f t="shared" si="32"/>
        <v/>
      </c>
      <c r="P118" s="55" t="str">
        <f t="shared" si="32"/>
        <v/>
      </c>
      <c r="Q118" s="55" t="str">
        <f t="shared" si="32"/>
        <v/>
      </c>
      <c r="R118" s="55" t="str">
        <f t="shared" si="32"/>
        <v/>
      </c>
      <c r="S118" s="55" t="str">
        <f t="shared" si="32"/>
        <v/>
      </c>
      <c r="T118" s="55" t="str">
        <f t="shared" si="32"/>
        <v/>
      </c>
      <c r="U118" s="55" t="str">
        <f t="shared" si="32"/>
        <v/>
      </c>
      <c r="V118" s="55" t="str">
        <f t="shared" si="32"/>
        <v/>
      </c>
      <c r="W118" s="55" t="str">
        <f t="shared" si="32"/>
        <v/>
      </c>
      <c r="X118" s="55" t="str">
        <f t="shared" si="32"/>
        <v/>
      </c>
      <c r="Y118" s="55" t="str">
        <f t="shared" si="32"/>
        <v/>
      </c>
      <c r="Z118" s="55" t="str">
        <f t="shared" si="32"/>
        <v/>
      </c>
      <c r="AA118" s="55" t="str">
        <f t="shared" si="32"/>
        <v/>
      </c>
      <c r="AB118" s="55" t="str">
        <f t="shared" si="32"/>
        <v/>
      </c>
      <c r="AC118" s="55" t="str">
        <f t="shared" si="32"/>
        <v/>
      </c>
      <c r="AD118" s="55" t="str">
        <f t="shared" si="32"/>
        <v/>
      </c>
      <c r="AE118" s="55" t="str">
        <f t="shared" si="32"/>
        <v/>
      </c>
      <c r="AF118" s="55" t="str">
        <f t="shared" si="32"/>
        <v/>
      </c>
      <c r="AG118" s="55" t="str">
        <f t="shared" si="32"/>
        <v/>
      </c>
      <c r="AH118" s="55" t="str">
        <f t="shared" si="32"/>
        <v/>
      </c>
      <c r="AI118" s="55" t="str">
        <f t="shared" si="32"/>
        <v/>
      </c>
      <c r="AJ118" s="55" t="str">
        <f t="shared" si="32"/>
        <v/>
      </c>
      <c r="AK118" s="55" t="str">
        <f t="shared" si="32"/>
        <v/>
      </c>
      <c r="AL118" s="55" t="str">
        <f t="shared" si="32"/>
        <v/>
      </c>
      <c r="AM118" s="55" t="str">
        <f t="shared" si="32"/>
        <v/>
      </c>
      <c r="AN118" s="55" t="str">
        <f t="shared" si="32"/>
        <v/>
      </c>
      <c r="AO118" s="55" t="str">
        <f t="shared" si="32"/>
        <v/>
      </c>
      <c r="AP118" s="55" t="str">
        <f t="shared" si="32"/>
        <v/>
      </c>
      <c r="AQ118" s="55" t="str">
        <f t="shared" si="32"/>
        <v/>
      </c>
      <c r="AR118" s="55" t="str">
        <f t="shared" si="32"/>
        <v/>
      </c>
      <c r="AS118" s="55" t="str">
        <f t="shared" si="32"/>
        <v/>
      </c>
      <c r="AT118" s="55" t="str">
        <f t="shared" si="32"/>
        <v/>
      </c>
      <c r="AU118" s="55" t="str">
        <f t="shared" si="32"/>
        <v/>
      </c>
      <c r="AV118" s="55" t="str">
        <f t="shared" si="32"/>
        <v/>
      </c>
      <c r="AW118" s="55" t="str">
        <f t="shared" si="32"/>
        <v/>
      </c>
      <c r="AX118" s="55" t="str">
        <f t="shared" si="32"/>
        <v/>
      </c>
      <c r="AY118" s="55" t="str">
        <f t="shared" si="32"/>
        <v/>
      </c>
      <c r="AZ118" s="55" t="str">
        <f t="shared" si="32"/>
        <v/>
      </c>
      <c r="BA118" s="55" t="str">
        <f t="shared" si="32"/>
        <v/>
      </c>
      <c r="BB118" s="55" t="str">
        <f t="shared" si="32"/>
        <v/>
      </c>
      <c r="BC118" s="55" t="str">
        <f t="shared" si="32"/>
        <v/>
      </c>
      <c r="BD118" s="55" t="str">
        <f t="shared" si="32"/>
        <v/>
      </c>
      <c r="BE118" s="55" t="str">
        <f t="shared" si="32"/>
        <v/>
      </c>
      <c r="BF118" s="55" t="str">
        <f t="shared" si="32"/>
        <v/>
      </c>
      <c r="BG118" s="55" t="str">
        <f t="shared" si="32"/>
        <v/>
      </c>
      <c r="BH118" s="55" t="str">
        <f t="shared" si="32"/>
        <v/>
      </c>
      <c r="BI118" s="55" t="str">
        <f t="shared" si="32"/>
        <v/>
      </c>
      <c r="BJ118" s="55" t="str">
        <f t="shared" si="32"/>
        <v/>
      </c>
      <c r="BK118" s="55" t="str">
        <f t="shared" si="32"/>
        <v/>
      </c>
      <c r="BL118" s="55" t="str">
        <f t="shared" si="32"/>
        <v/>
      </c>
      <c r="BM118" s="55" t="str">
        <f t="shared" si="32"/>
        <v/>
      </c>
      <c r="BN118" s="55" t="str">
        <f t="shared" si="32"/>
        <v/>
      </c>
      <c r="BO118" s="55" t="str">
        <f t="shared" si="32"/>
        <v/>
      </c>
      <c r="BP118" s="55" t="str">
        <f t="shared" si="32"/>
        <v/>
      </c>
      <c r="BQ118" s="55" t="str">
        <f t="shared" si="32"/>
        <v/>
      </c>
      <c r="BR118" s="55" t="str">
        <f t="shared" si="32"/>
        <v/>
      </c>
      <c r="BS118" s="55" t="str">
        <f t="shared" si="32"/>
        <v/>
      </c>
      <c r="BT118" s="55" t="str">
        <f t="shared" ref="BT118:EE118" si="33">IF(BT120&lt;&gt;"",TEXT(BT120,"ddd"),"")</f>
        <v/>
      </c>
      <c r="BU118" s="55" t="str">
        <f t="shared" si="33"/>
        <v/>
      </c>
      <c r="BV118" s="55" t="str">
        <f t="shared" si="33"/>
        <v/>
      </c>
      <c r="BW118" s="55" t="str">
        <f t="shared" si="33"/>
        <v/>
      </c>
      <c r="BX118" s="55" t="str">
        <f t="shared" si="33"/>
        <v/>
      </c>
      <c r="BY118" s="55" t="str">
        <f t="shared" si="33"/>
        <v/>
      </c>
      <c r="BZ118" s="55" t="str">
        <f t="shared" si="33"/>
        <v/>
      </c>
      <c r="CA118" s="55" t="str">
        <f t="shared" si="33"/>
        <v/>
      </c>
      <c r="CB118" s="55" t="str">
        <f t="shared" si="33"/>
        <v/>
      </c>
      <c r="CC118" s="55" t="str">
        <f t="shared" si="33"/>
        <v/>
      </c>
      <c r="CD118" s="55" t="str">
        <f t="shared" si="33"/>
        <v/>
      </c>
      <c r="CE118" s="55" t="str">
        <f t="shared" si="33"/>
        <v/>
      </c>
      <c r="CF118" s="55" t="str">
        <f t="shared" si="33"/>
        <v/>
      </c>
      <c r="CG118" s="55" t="str">
        <f t="shared" si="33"/>
        <v/>
      </c>
      <c r="CH118" s="55" t="str">
        <f t="shared" si="33"/>
        <v/>
      </c>
      <c r="CI118" s="55" t="str">
        <f t="shared" si="33"/>
        <v/>
      </c>
      <c r="CJ118" s="55" t="str">
        <f t="shared" si="33"/>
        <v/>
      </c>
      <c r="CK118" s="55" t="str">
        <f t="shared" si="33"/>
        <v/>
      </c>
      <c r="CL118" s="55" t="str">
        <f t="shared" si="33"/>
        <v/>
      </c>
      <c r="CM118" s="55" t="str">
        <f t="shared" si="33"/>
        <v/>
      </c>
      <c r="CN118" s="55" t="str">
        <f t="shared" si="33"/>
        <v/>
      </c>
      <c r="CO118" s="55" t="str">
        <f t="shared" si="33"/>
        <v/>
      </c>
      <c r="CP118" s="55" t="str">
        <f t="shared" si="33"/>
        <v/>
      </c>
      <c r="CQ118" s="55" t="str">
        <f t="shared" si="33"/>
        <v/>
      </c>
      <c r="CR118" s="55" t="str">
        <f t="shared" si="33"/>
        <v/>
      </c>
      <c r="CS118" s="55" t="str">
        <f t="shared" si="33"/>
        <v/>
      </c>
      <c r="CT118" s="55" t="str">
        <f t="shared" si="33"/>
        <v/>
      </c>
      <c r="CU118" s="55" t="str">
        <f t="shared" si="33"/>
        <v/>
      </c>
      <c r="CV118" s="55" t="str">
        <f t="shared" si="33"/>
        <v/>
      </c>
      <c r="CW118" s="55" t="str">
        <f t="shared" si="33"/>
        <v/>
      </c>
      <c r="CX118" s="55" t="str">
        <f t="shared" si="33"/>
        <v/>
      </c>
      <c r="CY118" s="55" t="str">
        <f t="shared" si="33"/>
        <v/>
      </c>
      <c r="CZ118" s="55" t="str">
        <f t="shared" si="33"/>
        <v/>
      </c>
      <c r="DA118" s="55" t="str">
        <f t="shared" si="33"/>
        <v/>
      </c>
      <c r="DB118" s="55" t="str">
        <f t="shared" si="33"/>
        <v/>
      </c>
      <c r="DC118" s="55" t="str">
        <f t="shared" si="33"/>
        <v/>
      </c>
      <c r="DD118" s="55" t="str">
        <f t="shared" si="33"/>
        <v/>
      </c>
      <c r="DE118" s="55" t="str">
        <f t="shared" si="33"/>
        <v/>
      </c>
      <c r="DF118" s="55" t="str">
        <f t="shared" si="33"/>
        <v/>
      </c>
      <c r="DG118" s="55" t="str">
        <f t="shared" si="33"/>
        <v/>
      </c>
      <c r="DH118" s="55" t="str">
        <f t="shared" si="33"/>
        <v/>
      </c>
      <c r="DI118" s="55" t="str">
        <f t="shared" si="33"/>
        <v/>
      </c>
      <c r="DJ118" s="55" t="str">
        <f t="shared" si="33"/>
        <v/>
      </c>
      <c r="DK118" s="55" t="str">
        <f t="shared" si="33"/>
        <v/>
      </c>
      <c r="DL118" s="55" t="str">
        <f t="shared" si="33"/>
        <v/>
      </c>
      <c r="DM118" s="55" t="str">
        <f t="shared" si="33"/>
        <v/>
      </c>
      <c r="DN118" s="55" t="str">
        <f t="shared" si="33"/>
        <v/>
      </c>
      <c r="DO118" s="55" t="str">
        <f t="shared" si="33"/>
        <v/>
      </c>
      <c r="DP118" s="55" t="str">
        <f t="shared" si="33"/>
        <v/>
      </c>
      <c r="DQ118" s="55" t="str">
        <f t="shared" si="33"/>
        <v/>
      </c>
      <c r="DR118" s="55" t="str">
        <f t="shared" si="33"/>
        <v/>
      </c>
      <c r="DS118" s="55" t="str">
        <f t="shared" si="33"/>
        <v/>
      </c>
      <c r="DT118" s="55" t="str">
        <f t="shared" si="33"/>
        <v/>
      </c>
      <c r="DU118" s="55" t="str">
        <f t="shared" si="33"/>
        <v/>
      </c>
      <c r="DV118" s="55" t="str">
        <f t="shared" si="33"/>
        <v/>
      </c>
      <c r="DW118" s="55" t="str">
        <f t="shared" si="33"/>
        <v/>
      </c>
      <c r="DX118" s="55" t="str">
        <f t="shared" si="33"/>
        <v/>
      </c>
      <c r="DY118" s="55" t="str">
        <f t="shared" si="33"/>
        <v/>
      </c>
      <c r="DZ118" s="55" t="str">
        <f t="shared" si="33"/>
        <v/>
      </c>
      <c r="EA118" s="55" t="str">
        <f t="shared" si="33"/>
        <v/>
      </c>
      <c r="EB118" s="55" t="str">
        <f t="shared" si="33"/>
        <v/>
      </c>
      <c r="EC118" s="55" t="str">
        <f t="shared" si="33"/>
        <v/>
      </c>
      <c r="ED118" s="55" t="str">
        <f t="shared" si="33"/>
        <v/>
      </c>
      <c r="EE118" s="55" t="str">
        <f t="shared" si="33"/>
        <v/>
      </c>
      <c r="EF118" s="55" t="str">
        <f t="shared" ref="EF118:GQ118" si="34">IF(EF120&lt;&gt;"",TEXT(EF120,"ddd"),"")</f>
        <v/>
      </c>
      <c r="EG118" s="55" t="str">
        <f t="shared" si="34"/>
        <v/>
      </c>
      <c r="EH118" s="55" t="str">
        <f t="shared" si="34"/>
        <v/>
      </c>
      <c r="EI118" s="55" t="str">
        <f t="shared" si="34"/>
        <v/>
      </c>
      <c r="EJ118" s="55" t="str">
        <f t="shared" si="34"/>
        <v/>
      </c>
      <c r="EK118" s="55" t="str">
        <f t="shared" si="34"/>
        <v/>
      </c>
      <c r="EL118" s="55" t="str">
        <f t="shared" si="34"/>
        <v/>
      </c>
      <c r="EM118" s="55" t="str">
        <f t="shared" si="34"/>
        <v/>
      </c>
      <c r="EN118" s="55" t="str">
        <f t="shared" si="34"/>
        <v/>
      </c>
      <c r="EO118" s="55" t="str">
        <f t="shared" si="34"/>
        <v/>
      </c>
      <c r="EP118" s="55" t="str">
        <f t="shared" si="34"/>
        <v/>
      </c>
      <c r="EQ118" s="55" t="str">
        <f t="shared" si="34"/>
        <v/>
      </c>
      <c r="ER118" s="55" t="str">
        <f t="shared" si="34"/>
        <v/>
      </c>
      <c r="ES118" s="55" t="str">
        <f t="shared" si="34"/>
        <v/>
      </c>
      <c r="ET118" s="55" t="str">
        <f t="shared" si="34"/>
        <v/>
      </c>
      <c r="EU118" s="55" t="str">
        <f t="shared" si="34"/>
        <v/>
      </c>
      <c r="EV118" s="55" t="str">
        <f t="shared" si="34"/>
        <v/>
      </c>
      <c r="EW118" s="55" t="str">
        <f t="shared" si="34"/>
        <v/>
      </c>
      <c r="EX118" s="55" t="str">
        <f t="shared" si="34"/>
        <v/>
      </c>
      <c r="EY118" s="55" t="str">
        <f t="shared" si="34"/>
        <v/>
      </c>
      <c r="EZ118" s="55" t="str">
        <f t="shared" si="34"/>
        <v/>
      </c>
      <c r="FA118" s="55" t="str">
        <f t="shared" si="34"/>
        <v/>
      </c>
      <c r="FB118" s="55" t="str">
        <f t="shared" si="34"/>
        <v/>
      </c>
      <c r="FC118" s="55" t="str">
        <f t="shared" si="34"/>
        <v/>
      </c>
      <c r="FD118" s="55" t="str">
        <f t="shared" si="34"/>
        <v/>
      </c>
      <c r="FE118" s="55" t="str">
        <f t="shared" si="34"/>
        <v/>
      </c>
      <c r="FF118" s="55" t="str">
        <f t="shared" si="34"/>
        <v/>
      </c>
      <c r="FG118" s="55" t="str">
        <f t="shared" si="34"/>
        <v/>
      </c>
      <c r="FH118" s="55" t="str">
        <f t="shared" si="34"/>
        <v/>
      </c>
      <c r="FI118" s="55" t="str">
        <f t="shared" si="34"/>
        <v/>
      </c>
      <c r="FJ118" s="55" t="str">
        <f t="shared" si="34"/>
        <v/>
      </c>
      <c r="FK118" s="55" t="str">
        <f t="shared" si="34"/>
        <v/>
      </c>
      <c r="FL118" s="55" t="str">
        <f t="shared" si="34"/>
        <v/>
      </c>
      <c r="FM118" s="55" t="str">
        <f t="shared" si="34"/>
        <v/>
      </c>
      <c r="FN118" s="55" t="str">
        <f t="shared" si="34"/>
        <v/>
      </c>
      <c r="FO118" s="55" t="str">
        <f t="shared" si="34"/>
        <v/>
      </c>
      <c r="FP118" s="55" t="str">
        <f t="shared" si="34"/>
        <v/>
      </c>
      <c r="FQ118" s="55" t="str">
        <f t="shared" si="34"/>
        <v/>
      </c>
      <c r="FR118" s="55" t="str">
        <f t="shared" si="34"/>
        <v/>
      </c>
      <c r="FS118" s="55" t="str">
        <f t="shared" si="34"/>
        <v/>
      </c>
      <c r="FT118" s="55" t="str">
        <f t="shared" si="34"/>
        <v/>
      </c>
      <c r="FU118" s="55" t="str">
        <f t="shared" si="34"/>
        <v/>
      </c>
      <c r="FV118" s="55" t="str">
        <f t="shared" si="34"/>
        <v/>
      </c>
      <c r="FW118" s="55" t="str">
        <f t="shared" si="34"/>
        <v/>
      </c>
      <c r="FX118" s="55" t="str">
        <f t="shared" si="34"/>
        <v/>
      </c>
      <c r="FY118" s="55" t="str">
        <f t="shared" si="34"/>
        <v/>
      </c>
      <c r="FZ118" s="55" t="str">
        <f t="shared" si="34"/>
        <v/>
      </c>
      <c r="GA118" s="55" t="str">
        <f t="shared" si="34"/>
        <v/>
      </c>
      <c r="GB118" s="55" t="str">
        <f t="shared" si="34"/>
        <v/>
      </c>
      <c r="GC118" s="55" t="str">
        <f t="shared" si="34"/>
        <v/>
      </c>
      <c r="GD118" s="55" t="str">
        <f t="shared" si="34"/>
        <v/>
      </c>
      <c r="GE118" s="55" t="str">
        <f t="shared" si="34"/>
        <v/>
      </c>
      <c r="GF118" s="55" t="str">
        <f t="shared" si="34"/>
        <v/>
      </c>
      <c r="GG118" s="55" t="str">
        <f t="shared" si="34"/>
        <v/>
      </c>
      <c r="GH118" s="55" t="str">
        <f t="shared" si="34"/>
        <v/>
      </c>
      <c r="GI118" s="55" t="str">
        <f t="shared" si="34"/>
        <v/>
      </c>
      <c r="GJ118" s="55" t="str">
        <f t="shared" si="34"/>
        <v/>
      </c>
      <c r="GK118" s="55" t="str">
        <f t="shared" si="34"/>
        <v/>
      </c>
      <c r="GL118" s="55" t="str">
        <f t="shared" si="34"/>
        <v/>
      </c>
      <c r="GM118" s="55" t="str">
        <f t="shared" si="34"/>
        <v/>
      </c>
      <c r="GN118" s="55" t="str">
        <f t="shared" si="34"/>
        <v/>
      </c>
      <c r="GO118" s="55" t="str">
        <f t="shared" si="34"/>
        <v/>
      </c>
      <c r="GP118" s="55" t="str">
        <f t="shared" si="34"/>
        <v/>
      </c>
      <c r="GQ118" s="55" t="str">
        <f t="shared" si="34"/>
        <v/>
      </c>
      <c r="GR118" s="55" t="str">
        <f t="shared" ref="GR118:HY118" si="35">IF(GR120&lt;&gt;"",TEXT(GR120,"ddd"),"")</f>
        <v/>
      </c>
      <c r="GS118" s="55" t="str">
        <f t="shared" si="35"/>
        <v/>
      </c>
      <c r="GT118" s="55" t="str">
        <f t="shared" si="35"/>
        <v/>
      </c>
      <c r="GU118" s="55" t="str">
        <f t="shared" si="35"/>
        <v/>
      </c>
      <c r="GV118" s="55" t="str">
        <f t="shared" si="35"/>
        <v/>
      </c>
      <c r="GW118" s="55" t="str">
        <f t="shared" si="35"/>
        <v/>
      </c>
      <c r="GX118" s="55" t="str">
        <f t="shared" si="35"/>
        <v/>
      </c>
      <c r="GY118" s="55" t="str">
        <f t="shared" si="35"/>
        <v/>
      </c>
      <c r="GZ118" s="55" t="str">
        <f t="shared" si="35"/>
        <v/>
      </c>
      <c r="HA118" s="55" t="str">
        <f t="shared" si="35"/>
        <v/>
      </c>
      <c r="HB118" s="55" t="str">
        <f t="shared" si="35"/>
        <v/>
      </c>
      <c r="HC118" s="55" t="str">
        <f t="shared" si="35"/>
        <v/>
      </c>
      <c r="HD118" s="55" t="str">
        <f t="shared" si="35"/>
        <v/>
      </c>
      <c r="HE118" s="55" t="str">
        <f t="shared" si="35"/>
        <v/>
      </c>
      <c r="HF118" s="55" t="str">
        <f t="shared" si="35"/>
        <v/>
      </c>
      <c r="HG118" s="55" t="str">
        <f t="shared" si="35"/>
        <v/>
      </c>
      <c r="HH118" s="55" t="str">
        <f t="shared" si="35"/>
        <v/>
      </c>
      <c r="HI118" s="55" t="str">
        <f t="shared" si="35"/>
        <v/>
      </c>
      <c r="HJ118" s="55" t="str">
        <f t="shared" si="35"/>
        <v/>
      </c>
      <c r="HK118" s="55" t="str">
        <f t="shared" si="35"/>
        <v/>
      </c>
      <c r="HL118" s="55" t="str">
        <f t="shared" si="35"/>
        <v/>
      </c>
      <c r="HM118" s="55" t="str">
        <f t="shared" si="35"/>
        <v/>
      </c>
      <c r="HN118" s="55" t="str">
        <f t="shared" si="35"/>
        <v/>
      </c>
      <c r="HO118" s="55" t="str">
        <f t="shared" si="35"/>
        <v/>
      </c>
      <c r="HP118" s="55" t="str">
        <f t="shared" si="35"/>
        <v/>
      </c>
      <c r="HQ118" s="55" t="str">
        <f t="shared" si="35"/>
        <v/>
      </c>
      <c r="HR118" s="55" t="str">
        <f t="shared" si="35"/>
        <v/>
      </c>
      <c r="HS118" s="55" t="str">
        <f t="shared" si="35"/>
        <v/>
      </c>
      <c r="HT118" s="55" t="str">
        <f t="shared" si="35"/>
        <v/>
      </c>
      <c r="HU118" s="55" t="str">
        <f t="shared" si="35"/>
        <v/>
      </c>
      <c r="HV118" s="55" t="str">
        <f t="shared" si="35"/>
        <v/>
      </c>
      <c r="HW118" s="55" t="str">
        <f t="shared" si="35"/>
        <v/>
      </c>
      <c r="HX118" s="55" t="str">
        <f t="shared" si="35"/>
        <v/>
      </c>
      <c r="HY118" s="55" t="str">
        <f t="shared" si="35"/>
        <v/>
      </c>
    </row>
    <row r="119" spans="1:237" s="2" customFormat="1">
      <c r="A119" s="54"/>
      <c r="B119" s="54"/>
      <c r="C119" s="54"/>
      <c r="D119" s="54"/>
      <c r="E119" s="54"/>
      <c r="F119" s="54"/>
      <c r="G119" s="54">
        <v>-5</v>
      </c>
      <c r="H119" s="54">
        <v>-4</v>
      </c>
      <c r="I119" s="54">
        <v>-3</v>
      </c>
      <c r="J119" s="54">
        <v>-2</v>
      </c>
      <c r="K119" s="54">
        <v>-1</v>
      </c>
      <c r="L119" s="54">
        <v>0</v>
      </c>
    </row>
    <row r="120" spans="1:237" ht="70.5" customHeight="1">
      <c r="A120" s="78" t="s">
        <v>26</v>
      </c>
      <c r="B120" s="78" t="s">
        <v>27</v>
      </c>
      <c r="C120" s="78" t="s">
        <v>28</v>
      </c>
      <c r="D120" s="78" t="s">
        <v>29</v>
      </c>
      <c r="E120" s="78" t="s">
        <v>30</v>
      </c>
      <c r="F120" s="79" t="s">
        <v>31</v>
      </c>
      <c r="G120" s="39" t="e">
        <f>+H120-1</f>
        <v>#REF!</v>
      </c>
      <c r="H120" s="39" t="e">
        <f>+I120-1</f>
        <v>#REF!</v>
      </c>
      <c r="I120" s="39" t="e">
        <f>+J120-1</f>
        <v>#REF!</v>
      </c>
      <c r="J120" s="39" t="e">
        <f>+K120-1</f>
        <v>#REF!</v>
      </c>
      <c r="K120" s="39" t="e">
        <f>+L120-1</f>
        <v>#REF!</v>
      </c>
      <c r="L120" s="40" t="e">
        <f>B118</f>
        <v>#REF!</v>
      </c>
      <c r="M120" t="str">
        <f>+IF(M119&gt;0,$L$120+M119,"")</f>
        <v/>
      </c>
      <c r="N120" t="str">
        <f t="shared" ref="N120:BY120" si="36">+IF(N119&gt;0,$L$120+N119,"")</f>
        <v/>
      </c>
      <c r="O120" t="str">
        <f t="shared" si="36"/>
        <v/>
      </c>
      <c r="P120" t="str">
        <f t="shared" si="36"/>
        <v/>
      </c>
      <c r="Q120" t="str">
        <f t="shared" si="36"/>
        <v/>
      </c>
      <c r="R120" t="str">
        <f t="shared" si="36"/>
        <v/>
      </c>
      <c r="S120" t="str">
        <f t="shared" si="36"/>
        <v/>
      </c>
      <c r="T120" t="str">
        <f t="shared" si="36"/>
        <v/>
      </c>
      <c r="U120" t="str">
        <f t="shared" si="36"/>
        <v/>
      </c>
      <c r="V120" t="str">
        <f t="shared" si="36"/>
        <v/>
      </c>
      <c r="W120" t="str">
        <f t="shared" si="36"/>
        <v/>
      </c>
      <c r="X120" t="str">
        <f t="shared" si="36"/>
        <v/>
      </c>
      <c r="Y120" t="str">
        <f t="shared" si="36"/>
        <v/>
      </c>
      <c r="Z120" t="str">
        <f t="shared" si="36"/>
        <v/>
      </c>
      <c r="AA120" t="str">
        <f t="shared" si="36"/>
        <v/>
      </c>
      <c r="AB120" t="str">
        <f t="shared" si="36"/>
        <v/>
      </c>
      <c r="AC120" t="str">
        <f t="shared" si="36"/>
        <v/>
      </c>
      <c r="AD120" t="str">
        <f t="shared" si="36"/>
        <v/>
      </c>
      <c r="AE120" t="str">
        <f t="shared" si="36"/>
        <v/>
      </c>
      <c r="AF120" t="str">
        <f t="shared" si="36"/>
        <v/>
      </c>
      <c r="AG120" t="str">
        <f t="shared" si="36"/>
        <v/>
      </c>
      <c r="AH120" t="str">
        <f t="shared" si="36"/>
        <v/>
      </c>
      <c r="AI120" t="str">
        <f t="shared" si="36"/>
        <v/>
      </c>
      <c r="AJ120" t="str">
        <f t="shared" si="36"/>
        <v/>
      </c>
      <c r="AK120" t="str">
        <f t="shared" si="36"/>
        <v/>
      </c>
      <c r="AL120" t="str">
        <f t="shared" si="36"/>
        <v/>
      </c>
      <c r="AM120" t="str">
        <f t="shared" si="36"/>
        <v/>
      </c>
      <c r="AN120" t="str">
        <f t="shared" si="36"/>
        <v/>
      </c>
      <c r="AO120" t="str">
        <f t="shared" si="36"/>
        <v/>
      </c>
      <c r="AP120" t="str">
        <f t="shared" si="36"/>
        <v/>
      </c>
      <c r="AQ120" t="str">
        <f t="shared" si="36"/>
        <v/>
      </c>
      <c r="AR120" t="str">
        <f t="shared" si="36"/>
        <v/>
      </c>
      <c r="AS120" t="str">
        <f t="shared" si="36"/>
        <v/>
      </c>
      <c r="AT120" t="str">
        <f t="shared" si="36"/>
        <v/>
      </c>
      <c r="AU120" t="str">
        <f t="shared" si="36"/>
        <v/>
      </c>
      <c r="AV120" t="str">
        <f t="shared" si="36"/>
        <v/>
      </c>
      <c r="AW120" t="str">
        <f t="shared" si="36"/>
        <v/>
      </c>
      <c r="AX120" t="str">
        <f t="shared" si="36"/>
        <v/>
      </c>
      <c r="AY120" t="str">
        <f t="shared" si="36"/>
        <v/>
      </c>
      <c r="AZ120" t="str">
        <f t="shared" si="36"/>
        <v/>
      </c>
      <c r="BA120" t="str">
        <f t="shared" si="36"/>
        <v/>
      </c>
      <c r="BB120" t="str">
        <f t="shared" si="36"/>
        <v/>
      </c>
      <c r="BC120" t="str">
        <f t="shared" si="36"/>
        <v/>
      </c>
      <c r="BD120" t="str">
        <f t="shared" si="36"/>
        <v/>
      </c>
      <c r="BE120" t="str">
        <f t="shared" si="36"/>
        <v/>
      </c>
      <c r="BF120" t="str">
        <f t="shared" si="36"/>
        <v/>
      </c>
      <c r="BG120" t="str">
        <f t="shared" si="36"/>
        <v/>
      </c>
      <c r="BH120" t="str">
        <f t="shared" si="36"/>
        <v/>
      </c>
      <c r="BI120" t="str">
        <f t="shared" si="36"/>
        <v/>
      </c>
      <c r="BJ120" t="str">
        <f t="shared" si="36"/>
        <v/>
      </c>
      <c r="BK120" t="str">
        <f t="shared" si="36"/>
        <v/>
      </c>
      <c r="BL120" t="str">
        <f t="shared" si="36"/>
        <v/>
      </c>
      <c r="BM120" t="str">
        <f t="shared" si="36"/>
        <v/>
      </c>
      <c r="BN120" t="str">
        <f t="shared" si="36"/>
        <v/>
      </c>
      <c r="BO120" t="str">
        <f t="shared" si="36"/>
        <v/>
      </c>
      <c r="BP120" t="str">
        <f t="shared" si="36"/>
        <v/>
      </c>
      <c r="BQ120" t="str">
        <f t="shared" si="36"/>
        <v/>
      </c>
      <c r="BR120" t="str">
        <f t="shared" si="36"/>
        <v/>
      </c>
      <c r="BS120" t="str">
        <f t="shared" si="36"/>
        <v/>
      </c>
      <c r="BT120" t="str">
        <f t="shared" si="36"/>
        <v/>
      </c>
      <c r="BU120" t="str">
        <f t="shared" si="36"/>
        <v/>
      </c>
      <c r="BV120" t="str">
        <f t="shared" si="36"/>
        <v/>
      </c>
      <c r="BW120" t="str">
        <f t="shared" si="36"/>
        <v/>
      </c>
      <c r="BX120" t="str">
        <f t="shared" si="36"/>
        <v/>
      </c>
      <c r="BY120" t="str">
        <f t="shared" si="36"/>
        <v/>
      </c>
      <c r="BZ120" t="str">
        <f t="shared" ref="BZ120:EK120" si="37">+IF(BZ119&gt;0,$L$120+BZ119,"")</f>
        <v/>
      </c>
      <c r="CA120" t="str">
        <f t="shared" si="37"/>
        <v/>
      </c>
      <c r="CB120" t="str">
        <f t="shared" si="37"/>
        <v/>
      </c>
      <c r="CC120" t="str">
        <f t="shared" si="37"/>
        <v/>
      </c>
      <c r="CD120" t="str">
        <f t="shared" si="37"/>
        <v/>
      </c>
      <c r="CE120" t="str">
        <f t="shared" si="37"/>
        <v/>
      </c>
      <c r="CF120" t="str">
        <f t="shared" si="37"/>
        <v/>
      </c>
      <c r="CG120" t="str">
        <f t="shared" si="37"/>
        <v/>
      </c>
      <c r="CH120" t="str">
        <f t="shared" si="37"/>
        <v/>
      </c>
      <c r="CI120" t="str">
        <f t="shared" si="37"/>
        <v/>
      </c>
      <c r="CJ120" t="str">
        <f t="shared" si="37"/>
        <v/>
      </c>
      <c r="CK120" t="str">
        <f t="shared" si="37"/>
        <v/>
      </c>
      <c r="CL120" t="str">
        <f t="shared" si="37"/>
        <v/>
      </c>
      <c r="CM120" t="str">
        <f t="shared" si="37"/>
        <v/>
      </c>
      <c r="CN120" t="str">
        <f t="shared" si="37"/>
        <v/>
      </c>
      <c r="CO120" t="str">
        <f t="shared" si="37"/>
        <v/>
      </c>
      <c r="CP120" t="str">
        <f t="shared" si="37"/>
        <v/>
      </c>
      <c r="CQ120" t="str">
        <f t="shared" si="37"/>
        <v/>
      </c>
      <c r="CR120" t="str">
        <f t="shared" si="37"/>
        <v/>
      </c>
      <c r="CS120" t="str">
        <f t="shared" si="37"/>
        <v/>
      </c>
      <c r="CT120" t="str">
        <f t="shared" si="37"/>
        <v/>
      </c>
      <c r="CU120" t="str">
        <f t="shared" si="37"/>
        <v/>
      </c>
      <c r="CV120" t="str">
        <f t="shared" si="37"/>
        <v/>
      </c>
      <c r="CW120" t="str">
        <f t="shared" si="37"/>
        <v/>
      </c>
      <c r="CX120" t="str">
        <f t="shared" si="37"/>
        <v/>
      </c>
      <c r="CY120" t="str">
        <f t="shared" si="37"/>
        <v/>
      </c>
      <c r="CZ120" t="str">
        <f t="shared" si="37"/>
        <v/>
      </c>
      <c r="DA120" t="str">
        <f t="shared" si="37"/>
        <v/>
      </c>
      <c r="DB120" t="str">
        <f t="shared" si="37"/>
        <v/>
      </c>
      <c r="DC120" t="str">
        <f t="shared" si="37"/>
        <v/>
      </c>
      <c r="DD120" t="str">
        <f t="shared" si="37"/>
        <v/>
      </c>
      <c r="DE120" t="str">
        <f t="shared" si="37"/>
        <v/>
      </c>
      <c r="DF120" t="str">
        <f t="shared" si="37"/>
        <v/>
      </c>
      <c r="DG120" t="str">
        <f t="shared" si="37"/>
        <v/>
      </c>
      <c r="DH120" t="str">
        <f t="shared" si="37"/>
        <v/>
      </c>
      <c r="DI120" t="str">
        <f t="shared" si="37"/>
        <v/>
      </c>
      <c r="DJ120" t="str">
        <f t="shared" si="37"/>
        <v/>
      </c>
      <c r="DK120" t="str">
        <f t="shared" si="37"/>
        <v/>
      </c>
      <c r="DL120" t="str">
        <f t="shared" si="37"/>
        <v/>
      </c>
      <c r="DM120" t="str">
        <f t="shared" si="37"/>
        <v/>
      </c>
      <c r="DN120" t="str">
        <f t="shared" si="37"/>
        <v/>
      </c>
      <c r="DO120" t="str">
        <f t="shared" si="37"/>
        <v/>
      </c>
      <c r="DP120" t="str">
        <f t="shared" si="37"/>
        <v/>
      </c>
      <c r="DQ120" t="str">
        <f t="shared" si="37"/>
        <v/>
      </c>
      <c r="DR120" t="str">
        <f t="shared" si="37"/>
        <v/>
      </c>
      <c r="DS120" t="str">
        <f t="shared" si="37"/>
        <v/>
      </c>
      <c r="DT120" t="str">
        <f t="shared" si="37"/>
        <v/>
      </c>
      <c r="DU120" t="str">
        <f t="shared" si="37"/>
        <v/>
      </c>
      <c r="DV120" t="str">
        <f t="shared" si="37"/>
        <v/>
      </c>
      <c r="DW120" t="str">
        <f t="shared" si="37"/>
        <v/>
      </c>
      <c r="DX120" t="str">
        <f t="shared" si="37"/>
        <v/>
      </c>
      <c r="DY120" t="str">
        <f t="shared" si="37"/>
        <v/>
      </c>
      <c r="DZ120" t="str">
        <f t="shared" si="37"/>
        <v/>
      </c>
      <c r="EA120" t="str">
        <f t="shared" si="37"/>
        <v/>
      </c>
      <c r="EB120" t="str">
        <f t="shared" si="37"/>
        <v/>
      </c>
      <c r="EC120" t="str">
        <f t="shared" si="37"/>
        <v/>
      </c>
      <c r="ED120" t="str">
        <f t="shared" si="37"/>
        <v/>
      </c>
      <c r="EE120" t="str">
        <f t="shared" si="37"/>
        <v/>
      </c>
      <c r="EF120" t="str">
        <f t="shared" si="37"/>
        <v/>
      </c>
      <c r="EG120" t="str">
        <f t="shared" si="37"/>
        <v/>
      </c>
      <c r="EH120" t="str">
        <f t="shared" si="37"/>
        <v/>
      </c>
      <c r="EI120" t="str">
        <f t="shared" si="37"/>
        <v/>
      </c>
      <c r="EJ120" t="str">
        <f t="shared" si="37"/>
        <v/>
      </c>
      <c r="EK120" t="str">
        <f t="shared" si="37"/>
        <v/>
      </c>
      <c r="EL120" t="str">
        <f t="shared" ref="EL120:GW120" si="38">+IF(EL119&gt;0,$L$120+EL119,"")</f>
        <v/>
      </c>
      <c r="EM120" t="str">
        <f t="shared" si="38"/>
        <v/>
      </c>
      <c r="EN120" t="str">
        <f t="shared" si="38"/>
        <v/>
      </c>
      <c r="EO120" t="str">
        <f t="shared" si="38"/>
        <v/>
      </c>
      <c r="EP120" t="str">
        <f t="shared" si="38"/>
        <v/>
      </c>
      <c r="EQ120" t="str">
        <f t="shared" si="38"/>
        <v/>
      </c>
      <c r="ER120" t="str">
        <f t="shared" si="38"/>
        <v/>
      </c>
      <c r="ES120" t="str">
        <f t="shared" si="38"/>
        <v/>
      </c>
      <c r="ET120" t="str">
        <f t="shared" si="38"/>
        <v/>
      </c>
      <c r="EU120" t="str">
        <f t="shared" si="38"/>
        <v/>
      </c>
      <c r="EV120" t="str">
        <f t="shared" si="38"/>
        <v/>
      </c>
      <c r="EW120" t="str">
        <f t="shared" si="38"/>
        <v/>
      </c>
      <c r="EX120" t="str">
        <f t="shared" si="38"/>
        <v/>
      </c>
      <c r="EY120" t="str">
        <f t="shared" si="38"/>
        <v/>
      </c>
      <c r="EZ120" t="str">
        <f t="shared" si="38"/>
        <v/>
      </c>
      <c r="FA120" t="str">
        <f t="shared" si="38"/>
        <v/>
      </c>
      <c r="FB120" t="str">
        <f t="shared" si="38"/>
        <v/>
      </c>
      <c r="FC120" t="str">
        <f t="shared" si="38"/>
        <v/>
      </c>
      <c r="FD120" t="str">
        <f t="shared" si="38"/>
        <v/>
      </c>
      <c r="FE120" t="str">
        <f t="shared" si="38"/>
        <v/>
      </c>
      <c r="FF120" t="str">
        <f t="shared" si="38"/>
        <v/>
      </c>
      <c r="FG120" t="str">
        <f t="shared" si="38"/>
        <v/>
      </c>
      <c r="FH120" t="str">
        <f t="shared" si="38"/>
        <v/>
      </c>
      <c r="FI120" t="str">
        <f t="shared" si="38"/>
        <v/>
      </c>
      <c r="FJ120" t="str">
        <f t="shared" si="38"/>
        <v/>
      </c>
      <c r="FK120" t="str">
        <f t="shared" si="38"/>
        <v/>
      </c>
      <c r="FL120" t="str">
        <f t="shared" si="38"/>
        <v/>
      </c>
      <c r="FM120" t="str">
        <f t="shared" si="38"/>
        <v/>
      </c>
      <c r="FN120" t="str">
        <f t="shared" si="38"/>
        <v/>
      </c>
      <c r="FO120" t="str">
        <f t="shared" si="38"/>
        <v/>
      </c>
      <c r="FP120" t="str">
        <f t="shared" si="38"/>
        <v/>
      </c>
      <c r="FQ120" t="str">
        <f t="shared" si="38"/>
        <v/>
      </c>
      <c r="FR120" t="str">
        <f t="shared" si="38"/>
        <v/>
      </c>
      <c r="FS120" t="str">
        <f t="shared" si="38"/>
        <v/>
      </c>
      <c r="FT120" t="str">
        <f t="shared" si="38"/>
        <v/>
      </c>
      <c r="FU120" t="str">
        <f t="shared" si="38"/>
        <v/>
      </c>
      <c r="FV120" t="str">
        <f t="shared" si="38"/>
        <v/>
      </c>
      <c r="FW120" t="str">
        <f t="shared" si="38"/>
        <v/>
      </c>
      <c r="FX120" t="str">
        <f t="shared" si="38"/>
        <v/>
      </c>
      <c r="FY120" t="str">
        <f t="shared" si="38"/>
        <v/>
      </c>
      <c r="FZ120" t="str">
        <f t="shared" si="38"/>
        <v/>
      </c>
      <c r="GA120" t="str">
        <f t="shared" si="38"/>
        <v/>
      </c>
      <c r="GB120" t="str">
        <f t="shared" si="38"/>
        <v/>
      </c>
      <c r="GC120" t="str">
        <f t="shared" si="38"/>
        <v/>
      </c>
      <c r="GD120" t="str">
        <f t="shared" si="38"/>
        <v/>
      </c>
      <c r="GE120" t="str">
        <f t="shared" si="38"/>
        <v/>
      </c>
      <c r="GF120" t="str">
        <f t="shared" si="38"/>
        <v/>
      </c>
      <c r="GG120" t="str">
        <f t="shared" si="38"/>
        <v/>
      </c>
      <c r="GH120" t="str">
        <f t="shared" si="38"/>
        <v/>
      </c>
      <c r="GI120" t="str">
        <f t="shared" si="38"/>
        <v/>
      </c>
      <c r="GJ120" t="str">
        <f t="shared" si="38"/>
        <v/>
      </c>
      <c r="GK120" t="str">
        <f t="shared" si="38"/>
        <v/>
      </c>
      <c r="GL120" t="str">
        <f t="shared" si="38"/>
        <v/>
      </c>
      <c r="GM120" t="str">
        <f t="shared" si="38"/>
        <v/>
      </c>
      <c r="GN120" t="str">
        <f t="shared" si="38"/>
        <v/>
      </c>
      <c r="GO120" t="str">
        <f t="shared" si="38"/>
        <v/>
      </c>
      <c r="GP120" t="str">
        <f t="shared" si="38"/>
        <v/>
      </c>
      <c r="GQ120" t="str">
        <f t="shared" si="38"/>
        <v/>
      </c>
      <c r="GR120" t="str">
        <f t="shared" si="38"/>
        <v/>
      </c>
      <c r="GS120" t="str">
        <f t="shared" si="38"/>
        <v/>
      </c>
      <c r="GT120" t="str">
        <f t="shared" si="38"/>
        <v/>
      </c>
      <c r="GU120" t="str">
        <f t="shared" si="38"/>
        <v/>
      </c>
      <c r="GV120" t="str">
        <f t="shared" si="38"/>
        <v/>
      </c>
      <c r="GW120" t="str">
        <f t="shared" si="38"/>
        <v/>
      </c>
      <c r="GX120" t="str">
        <f t="shared" ref="GX120:IC120" si="39">+IF(GX119&gt;0,$L$120+GX119,"")</f>
        <v/>
      </c>
      <c r="GY120" t="str">
        <f t="shared" si="39"/>
        <v/>
      </c>
      <c r="GZ120" t="str">
        <f t="shared" si="39"/>
        <v/>
      </c>
      <c r="HA120" t="str">
        <f t="shared" si="39"/>
        <v/>
      </c>
      <c r="HB120" t="str">
        <f t="shared" si="39"/>
        <v/>
      </c>
      <c r="HC120" t="str">
        <f t="shared" si="39"/>
        <v/>
      </c>
      <c r="HD120" t="str">
        <f t="shared" si="39"/>
        <v/>
      </c>
      <c r="HE120" t="str">
        <f t="shared" si="39"/>
        <v/>
      </c>
      <c r="HF120" t="str">
        <f t="shared" si="39"/>
        <v/>
      </c>
      <c r="HG120" t="str">
        <f t="shared" si="39"/>
        <v/>
      </c>
      <c r="HH120" t="str">
        <f t="shared" si="39"/>
        <v/>
      </c>
      <c r="HI120" t="str">
        <f t="shared" si="39"/>
        <v/>
      </c>
      <c r="HJ120" t="str">
        <f t="shared" si="39"/>
        <v/>
      </c>
      <c r="HK120" t="str">
        <f t="shared" si="39"/>
        <v/>
      </c>
      <c r="HL120" t="str">
        <f t="shared" si="39"/>
        <v/>
      </c>
      <c r="HM120" t="str">
        <f t="shared" si="39"/>
        <v/>
      </c>
      <c r="HN120" t="str">
        <f t="shared" si="39"/>
        <v/>
      </c>
      <c r="HO120" t="str">
        <f t="shared" si="39"/>
        <v/>
      </c>
      <c r="HP120" t="str">
        <f t="shared" si="39"/>
        <v/>
      </c>
      <c r="HQ120" t="str">
        <f t="shared" si="39"/>
        <v/>
      </c>
      <c r="HR120" t="str">
        <f t="shared" si="39"/>
        <v/>
      </c>
      <c r="HS120" t="str">
        <f t="shared" si="39"/>
        <v/>
      </c>
      <c r="HT120" t="str">
        <f t="shared" si="39"/>
        <v/>
      </c>
      <c r="HU120" t="str">
        <f t="shared" si="39"/>
        <v/>
      </c>
      <c r="HV120" t="str">
        <f t="shared" si="39"/>
        <v/>
      </c>
      <c r="HW120" t="str">
        <f t="shared" si="39"/>
        <v/>
      </c>
      <c r="HX120" t="str">
        <f t="shared" si="39"/>
        <v/>
      </c>
      <c r="HY120" t="str">
        <f t="shared" si="39"/>
        <v/>
      </c>
      <c r="HZ120" t="str">
        <f t="shared" si="39"/>
        <v/>
      </c>
      <c r="IA120" t="str">
        <f t="shared" si="39"/>
        <v/>
      </c>
      <c r="IB120" t="str">
        <f t="shared" si="39"/>
        <v/>
      </c>
      <c r="IC120" t="str">
        <f t="shared" si="39"/>
        <v/>
      </c>
    </row>
    <row r="121" spans="1:237">
      <c r="A121" s="42" t="e">
        <f>+IF(#REF!&lt;&gt;"",#REF!,"")</f>
        <v>#REF!</v>
      </c>
      <c r="B121" s="42" t="e">
        <f>+IF(#REF!&lt;&gt;"",#REF!,"")</f>
        <v>#REF!</v>
      </c>
      <c r="C121" s="42" t="e">
        <f>+IF(#REF!&lt;&gt;"",#REF!,"")</f>
        <v>#REF!</v>
      </c>
      <c r="D121" s="42" t="e">
        <f>+IF(#REF!&lt;&gt;"",#REF!,"")</f>
        <v>#REF!</v>
      </c>
      <c r="E121" s="42" t="e">
        <f>+IF(#REF!&lt;&gt;"",#REF!,"")</f>
        <v>#REF!</v>
      </c>
      <c r="F121" s="43" t="e">
        <f>+IF(#REF!&lt;&gt;"",#REF!,"")</f>
        <v>#REF!</v>
      </c>
      <c r="G121" s="64"/>
      <c r="H121" s="64"/>
      <c r="I121" s="64"/>
      <c r="J121" s="64"/>
      <c r="K121" s="64"/>
      <c r="L121" s="64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  <c r="BM121" s="68"/>
      <c r="BN121" s="68"/>
      <c r="BO121" s="68"/>
      <c r="BP121" s="68"/>
      <c r="BQ121" s="68"/>
      <c r="BR121" s="68"/>
      <c r="BS121" s="68"/>
      <c r="BT121" s="68"/>
      <c r="BU121" s="68"/>
      <c r="BV121" s="68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  <c r="EU121" s="64"/>
      <c r="EV121" s="64"/>
      <c r="EW121" s="64"/>
      <c r="EX121" s="64"/>
      <c r="EY121" s="64"/>
      <c r="EZ121" s="64"/>
      <c r="FA121" s="64"/>
      <c r="FB121" s="64"/>
      <c r="FC121" s="64"/>
      <c r="FD121" s="64"/>
      <c r="FE121" s="64"/>
    </row>
    <row r="122" spans="1:237">
      <c r="A122" s="42" t="e">
        <f>+IF(#REF!&lt;&gt;"",#REF!,"")</f>
        <v>#REF!</v>
      </c>
      <c r="B122" s="42" t="e">
        <f>+IF(#REF!&lt;&gt;"",#REF!,"")</f>
        <v>#REF!</v>
      </c>
      <c r="C122" s="42" t="e">
        <f>+IF(#REF!&lt;&gt;"",#REF!,"")</f>
        <v>#REF!</v>
      </c>
      <c r="D122" s="42" t="e">
        <f>+IF(#REF!&lt;&gt;"",#REF!,"")</f>
        <v>#REF!</v>
      </c>
      <c r="E122" s="42" t="e">
        <f>+IF(#REF!&lt;&gt;"",#REF!,"")</f>
        <v>#REF!</v>
      </c>
      <c r="F122" s="43" t="e">
        <f>+IF(#REF!&lt;&gt;"",#REF!,"")</f>
        <v>#REF!</v>
      </c>
      <c r="G122" s="64"/>
      <c r="H122" s="64"/>
      <c r="I122" s="64"/>
      <c r="J122" s="64"/>
      <c r="K122" s="64"/>
      <c r="L122" s="64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  <c r="EU122" s="64"/>
      <c r="EV122" s="64"/>
      <c r="EW122" s="64"/>
      <c r="EX122" s="64"/>
      <c r="EY122" s="64"/>
      <c r="EZ122" s="64"/>
      <c r="FA122" s="64"/>
      <c r="FB122" s="64"/>
      <c r="FC122" s="64"/>
      <c r="FD122" s="64"/>
      <c r="FE122" s="64"/>
    </row>
    <row r="123" spans="1:237">
      <c r="A123" s="42" t="e">
        <f>+IF(#REF!&lt;&gt;"",#REF!,"")</f>
        <v>#REF!</v>
      </c>
      <c r="B123" s="42" t="e">
        <f>+IF(#REF!&lt;&gt;"",#REF!,"")</f>
        <v>#REF!</v>
      </c>
      <c r="C123" s="42" t="e">
        <f>+IF(#REF!&lt;&gt;"",#REF!,"")</f>
        <v>#REF!</v>
      </c>
      <c r="D123" s="42" t="e">
        <f>+IF(#REF!&lt;&gt;"",#REF!,"")</f>
        <v>#REF!</v>
      </c>
      <c r="E123" s="42" t="e">
        <f>+IF(#REF!&lt;&gt;"",#REF!,"")</f>
        <v>#REF!</v>
      </c>
      <c r="F123" s="43" t="e">
        <f>+IF(#REF!&lt;&gt;"",#REF!,"")</f>
        <v>#REF!</v>
      </c>
      <c r="G123" s="64"/>
      <c r="H123" s="64"/>
      <c r="I123" s="64"/>
      <c r="J123" s="64"/>
      <c r="K123" s="64"/>
      <c r="L123" s="64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  <c r="BP123" s="68"/>
      <c r="BQ123" s="68"/>
      <c r="BR123" s="68"/>
      <c r="BS123" s="68"/>
      <c r="BT123" s="68"/>
      <c r="BU123" s="68"/>
      <c r="BV123" s="68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  <c r="EU123" s="64"/>
      <c r="EV123" s="64"/>
      <c r="EW123" s="64"/>
      <c r="EX123" s="64"/>
      <c r="EY123" s="64"/>
      <c r="EZ123" s="64"/>
      <c r="FA123" s="64"/>
      <c r="FB123" s="64"/>
      <c r="FC123" s="64"/>
      <c r="FD123" s="64"/>
      <c r="FE123" s="64"/>
    </row>
    <row r="124" spans="1:237">
      <c r="A124" s="42" t="e">
        <f>+IF(#REF!&lt;&gt;"",#REF!,"")</f>
        <v>#REF!</v>
      </c>
      <c r="B124" s="42" t="e">
        <f>+IF(#REF!&lt;&gt;"",#REF!,"")</f>
        <v>#REF!</v>
      </c>
      <c r="C124" s="42" t="e">
        <f>+IF(#REF!&lt;&gt;"",#REF!,"")</f>
        <v>#REF!</v>
      </c>
      <c r="D124" s="42" t="e">
        <f>+IF(#REF!&lt;&gt;"",#REF!,"")</f>
        <v>#REF!</v>
      </c>
      <c r="E124" s="42" t="e">
        <f>+IF(#REF!&lt;&gt;"",#REF!,"")</f>
        <v>#REF!</v>
      </c>
      <c r="F124" s="43" t="e">
        <f>+IF(#REF!&lt;&gt;"",#REF!,"")</f>
        <v>#REF!</v>
      </c>
      <c r="G124" s="64"/>
      <c r="H124" s="64"/>
      <c r="I124" s="64"/>
      <c r="J124" s="64"/>
      <c r="K124" s="64"/>
      <c r="L124" s="64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  <c r="BK124" s="68"/>
      <c r="BL124" s="68"/>
      <c r="BM124" s="68"/>
      <c r="BN124" s="68"/>
      <c r="BO124" s="68"/>
      <c r="BP124" s="68"/>
      <c r="BQ124" s="68"/>
      <c r="BR124" s="68"/>
      <c r="BS124" s="68"/>
      <c r="BT124" s="68"/>
      <c r="BU124" s="68"/>
      <c r="BV124" s="68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  <c r="EU124" s="64"/>
      <c r="EV124" s="64"/>
      <c r="EW124" s="64"/>
      <c r="EX124" s="64"/>
      <c r="EY124" s="64"/>
      <c r="EZ124" s="64"/>
      <c r="FA124" s="64"/>
      <c r="FB124" s="64"/>
      <c r="FC124" s="64"/>
      <c r="FD124" s="64"/>
      <c r="FE124" s="64"/>
    </row>
    <row r="125" spans="1:237">
      <c r="A125" s="42" t="e">
        <f>+IF(#REF!&lt;&gt;"",#REF!,"")</f>
        <v>#REF!</v>
      </c>
      <c r="B125" s="42" t="e">
        <f>+IF(#REF!&lt;&gt;"",#REF!,"")</f>
        <v>#REF!</v>
      </c>
      <c r="C125" s="42" t="e">
        <f>+IF(#REF!&lt;&gt;"",#REF!,"")</f>
        <v>#REF!</v>
      </c>
      <c r="D125" s="42" t="e">
        <f>+IF(#REF!&lt;&gt;"",#REF!,"")</f>
        <v>#REF!</v>
      </c>
      <c r="E125" s="42" t="e">
        <f>+IF(#REF!&lt;&gt;"",#REF!,"")</f>
        <v>#REF!</v>
      </c>
      <c r="F125" s="43" t="e">
        <f>+IF(#REF!&lt;&gt;"",#REF!,"")</f>
        <v>#REF!</v>
      </c>
      <c r="G125" s="64"/>
      <c r="H125" s="64"/>
      <c r="I125" s="64"/>
      <c r="J125" s="64"/>
      <c r="K125" s="64"/>
      <c r="L125" s="64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  <c r="BM125" s="68"/>
      <c r="BN125" s="68"/>
      <c r="BO125" s="68"/>
      <c r="BP125" s="68"/>
      <c r="BQ125" s="68"/>
      <c r="BR125" s="68"/>
      <c r="BS125" s="68"/>
      <c r="BT125" s="68"/>
      <c r="BU125" s="68"/>
      <c r="BV125" s="68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  <c r="EU125" s="64"/>
      <c r="EV125" s="64"/>
      <c r="EW125" s="64"/>
      <c r="EX125" s="64"/>
      <c r="EY125" s="64"/>
      <c r="EZ125" s="64"/>
      <c r="FA125" s="64"/>
      <c r="FB125" s="64"/>
      <c r="FC125" s="64"/>
      <c r="FD125" s="64"/>
      <c r="FE125" s="64"/>
    </row>
    <row r="126" spans="1:237">
      <c r="A126" s="42" t="e">
        <f>+IF(#REF!&lt;&gt;"",#REF!,"")</f>
        <v>#REF!</v>
      </c>
      <c r="B126" s="42" t="e">
        <f>+IF(#REF!&lt;&gt;"",#REF!,"")</f>
        <v>#REF!</v>
      </c>
      <c r="C126" s="42" t="e">
        <f>+IF(#REF!&lt;&gt;"",#REF!,"")</f>
        <v>#REF!</v>
      </c>
      <c r="D126" s="42" t="e">
        <f>+IF(#REF!&lt;&gt;"",#REF!,"")</f>
        <v>#REF!</v>
      </c>
      <c r="E126" s="42" t="e">
        <f>+IF(#REF!&lt;&gt;"",#REF!,"")</f>
        <v>#REF!</v>
      </c>
      <c r="F126" s="43" t="e">
        <f>+IF(#REF!&lt;&gt;"",#REF!,"")</f>
        <v>#REF!</v>
      </c>
    </row>
    <row r="127" spans="1:237">
      <c r="A127" s="49"/>
      <c r="B127" s="49"/>
      <c r="C127" s="49"/>
      <c r="D127" s="49"/>
      <c r="E127" s="49"/>
      <c r="F127" s="49"/>
    </row>
    <row r="128" spans="1:237">
      <c r="A128" s="66" t="s">
        <v>32</v>
      </c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</row>
    <row r="129" spans="1:169">
      <c r="A129" s="275" t="s">
        <v>33</v>
      </c>
      <c r="B129" s="275"/>
      <c r="C129" s="275"/>
      <c r="D129" s="275"/>
      <c r="E129" s="275"/>
      <c r="F129" s="65" t="e">
        <f>+B118</f>
        <v>#REF!</v>
      </c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  <c r="DY129" s="63"/>
      <c r="DZ129" s="63"/>
      <c r="EA129" s="63"/>
      <c r="EB129" s="63"/>
      <c r="EC129" s="63"/>
      <c r="ED129" s="63"/>
      <c r="EE129" s="63"/>
      <c r="EF129" s="63"/>
      <c r="EG129" s="63"/>
      <c r="EH129" s="63"/>
      <c r="EI129" s="63"/>
      <c r="EJ129" s="63"/>
      <c r="EK129" s="63"/>
      <c r="EL129" s="63"/>
      <c r="EM129" s="63"/>
      <c r="EN129" s="63"/>
      <c r="EO129" s="63"/>
      <c r="EP129" s="63"/>
      <c r="EQ129" s="63"/>
      <c r="ER129" s="63"/>
      <c r="ES129" s="63"/>
      <c r="ET129" s="63"/>
      <c r="EU129" s="63"/>
      <c r="EV129" s="63"/>
      <c r="EW129" s="63"/>
      <c r="EX129" s="63"/>
      <c r="EY129" s="63"/>
      <c r="EZ129" s="63"/>
      <c r="FA129" s="63"/>
      <c r="FB129" s="63"/>
      <c r="FC129" s="63"/>
      <c r="FD129" s="63"/>
      <c r="FE129" s="63"/>
      <c r="FF129" s="63"/>
      <c r="FG129" s="63"/>
      <c r="FH129" s="63"/>
      <c r="FI129" s="63"/>
      <c r="FJ129" s="63"/>
      <c r="FK129" s="63"/>
      <c r="FL129" s="63"/>
      <c r="FM129" s="63"/>
    </row>
    <row r="134" spans="1:169">
      <c r="A134" s="66" t="s">
        <v>34</v>
      </c>
    </row>
    <row r="135" spans="1:169" ht="25.5">
      <c r="A135" s="41" t="s">
        <v>26</v>
      </c>
      <c r="B135" s="41" t="s">
        <v>27</v>
      </c>
      <c r="C135" s="41" t="s">
        <v>28</v>
      </c>
      <c r="D135" s="41" t="s">
        <v>29</v>
      </c>
      <c r="E135" s="41" t="s">
        <v>30</v>
      </c>
      <c r="F135" s="41" t="s">
        <v>31</v>
      </c>
    </row>
    <row r="136" spans="1:169">
      <c r="A136" s="70"/>
      <c r="B136" s="70"/>
      <c r="C136" s="70"/>
      <c r="D136" s="70"/>
      <c r="E136" s="70"/>
      <c r="F136" s="70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</row>
    <row r="137" spans="1:169">
      <c r="A137" s="70"/>
      <c r="B137" s="70"/>
      <c r="C137" s="70"/>
      <c r="D137" s="70"/>
      <c r="E137" s="70"/>
      <c r="F137" s="70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</row>
    <row r="138" spans="1:169">
      <c r="A138" s="70"/>
      <c r="B138" s="70"/>
      <c r="C138" s="70"/>
      <c r="D138" s="70"/>
      <c r="E138" s="70"/>
      <c r="F138" s="70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</row>
    <row r="139" spans="1:169">
      <c r="A139" s="70"/>
      <c r="B139" s="70"/>
      <c r="C139" s="70"/>
      <c r="D139" s="70"/>
      <c r="E139" s="70"/>
      <c r="F139" s="70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</row>
    <row r="140" spans="1:169">
      <c r="A140" s="70"/>
      <c r="B140" s="70"/>
      <c r="C140" s="70"/>
      <c r="D140" s="70"/>
      <c r="E140" s="70"/>
      <c r="F140" s="70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</row>
    <row r="141" spans="1:169">
      <c r="A141" s="70"/>
      <c r="B141" s="70"/>
      <c r="C141" s="70"/>
      <c r="D141" s="70"/>
      <c r="E141" s="70"/>
      <c r="F141" s="70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</row>
    <row r="142" spans="1:169">
      <c r="A142" s="70"/>
      <c r="B142" s="70"/>
      <c r="C142" s="70"/>
      <c r="D142" s="70"/>
      <c r="E142" s="70"/>
      <c r="F142" s="70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</row>
    <row r="143" spans="1:169">
      <c r="A143" s="70"/>
      <c r="B143" s="70"/>
      <c r="C143" s="70"/>
      <c r="D143" s="70"/>
      <c r="E143" s="70"/>
      <c r="F143" s="70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</row>
    <row r="144" spans="1:169">
      <c r="A144" s="11"/>
      <c r="B144" s="11"/>
      <c r="C144" s="11"/>
      <c r="D144" s="11"/>
      <c r="E144" s="11"/>
      <c r="F144" s="11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</row>
    <row r="146" spans="1:208">
      <c r="A146" s="276" t="s">
        <v>40</v>
      </c>
      <c r="B146" s="276"/>
    </row>
    <row r="147" spans="1:208">
      <c r="A147" s="44" t="s">
        <v>41</v>
      </c>
      <c r="B147" s="42" t="e">
        <f>+#REF!</f>
        <v>#REF!</v>
      </c>
    </row>
    <row r="148" spans="1:208" ht="64.5">
      <c r="A148" s="57" t="s">
        <v>24</v>
      </c>
      <c r="B148" s="58" t="e">
        <f>+COUNTIF(#REF!,1)</f>
        <v>#REF!</v>
      </c>
      <c r="C148" s="6"/>
      <c r="D148" s="6"/>
      <c r="E148" s="6"/>
      <c r="F148" s="59" t="s">
        <v>42</v>
      </c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</row>
    <row r="149" spans="1:208">
      <c r="A149" s="45" t="s">
        <v>10</v>
      </c>
      <c r="B149" s="62" t="e">
        <f>+IF(#REF!&lt;&gt;"",#REF!,"")</f>
        <v>#REF!</v>
      </c>
      <c r="C149" s="6"/>
      <c r="D149" s="6"/>
      <c r="E149" s="6"/>
      <c r="F149" s="60"/>
      <c r="G149" s="55" t="e">
        <f>IF(G151&lt;&gt;"",TEXT(G151,"ddd"),"")</f>
        <v>#REF!</v>
      </c>
      <c r="H149" s="55" t="e">
        <f t="shared" ref="H149:BS149" si="40">IF(H151&lt;&gt;"",TEXT(H151,"ddd"),"")</f>
        <v>#REF!</v>
      </c>
      <c r="I149" s="55" t="e">
        <f t="shared" si="40"/>
        <v>#REF!</v>
      </c>
      <c r="J149" s="55" t="e">
        <f t="shared" si="40"/>
        <v>#REF!</v>
      </c>
      <c r="K149" s="55" t="e">
        <f t="shared" si="40"/>
        <v>#REF!</v>
      </c>
      <c r="L149" s="55" t="e">
        <f t="shared" si="40"/>
        <v>#REF!</v>
      </c>
      <c r="M149" s="55" t="str">
        <f t="shared" si="40"/>
        <v/>
      </c>
      <c r="N149" s="55" t="str">
        <f t="shared" si="40"/>
        <v/>
      </c>
      <c r="O149" s="55" t="str">
        <f t="shared" si="40"/>
        <v/>
      </c>
      <c r="P149" s="55" t="str">
        <f t="shared" si="40"/>
        <v/>
      </c>
      <c r="Q149" s="55" t="str">
        <f t="shared" si="40"/>
        <v/>
      </c>
      <c r="R149" s="55" t="str">
        <f t="shared" si="40"/>
        <v/>
      </c>
      <c r="S149" s="55" t="str">
        <f t="shared" si="40"/>
        <v/>
      </c>
      <c r="T149" s="55" t="str">
        <f t="shared" si="40"/>
        <v/>
      </c>
      <c r="U149" s="55" t="str">
        <f t="shared" si="40"/>
        <v/>
      </c>
      <c r="V149" s="55" t="str">
        <f t="shared" si="40"/>
        <v/>
      </c>
      <c r="W149" s="55" t="str">
        <f t="shared" si="40"/>
        <v/>
      </c>
      <c r="X149" s="55" t="str">
        <f t="shared" si="40"/>
        <v/>
      </c>
      <c r="Y149" s="55" t="str">
        <f t="shared" si="40"/>
        <v/>
      </c>
      <c r="Z149" s="55" t="str">
        <f t="shared" si="40"/>
        <v/>
      </c>
      <c r="AA149" s="55" t="str">
        <f t="shared" si="40"/>
        <v/>
      </c>
      <c r="AB149" s="55" t="str">
        <f t="shared" si="40"/>
        <v/>
      </c>
      <c r="AC149" s="55" t="str">
        <f t="shared" si="40"/>
        <v/>
      </c>
      <c r="AD149" s="55" t="str">
        <f t="shared" si="40"/>
        <v/>
      </c>
      <c r="AE149" s="55" t="str">
        <f t="shared" si="40"/>
        <v/>
      </c>
      <c r="AF149" s="55" t="str">
        <f t="shared" si="40"/>
        <v/>
      </c>
      <c r="AG149" s="55" t="str">
        <f t="shared" si="40"/>
        <v/>
      </c>
      <c r="AH149" s="55" t="str">
        <f t="shared" si="40"/>
        <v/>
      </c>
      <c r="AI149" s="55" t="str">
        <f t="shared" si="40"/>
        <v/>
      </c>
      <c r="AJ149" s="55" t="str">
        <f t="shared" si="40"/>
        <v/>
      </c>
      <c r="AK149" s="55" t="str">
        <f t="shared" si="40"/>
        <v/>
      </c>
      <c r="AL149" s="55" t="str">
        <f t="shared" si="40"/>
        <v/>
      </c>
      <c r="AM149" s="55" t="str">
        <f t="shared" si="40"/>
        <v/>
      </c>
      <c r="AN149" s="55" t="str">
        <f t="shared" si="40"/>
        <v/>
      </c>
      <c r="AO149" s="55" t="str">
        <f t="shared" si="40"/>
        <v/>
      </c>
      <c r="AP149" s="55" t="str">
        <f t="shared" si="40"/>
        <v/>
      </c>
      <c r="AQ149" s="55" t="str">
        <f t="shared" si="40"/>
        <v/>
      </c>
      <c r="AR149" s="55" t="str">
        <f t="shared" si="40"/>
        <v/>
      </c>
      <c r="AS149" s="55" t="str">
        <f t="shared" si="40"/>
        <v/>
      </c>
      <c r="AT149" s="55" t="str">
        <f t="shared" si="40"/>
        <v/>
      </c>
      <c r="AU149" s="55" t="str">
        <f t="shared" si="40"/>
        <v/>
      </c>
      <c r="AV149" s="55" t="str">
        <f t="shared" si="40"/>
        <v/>
      </c>
      <c r="AW149" s="55" t="str">
        <f t="shared" si="40"/>
        <v/>
      </c>
      <c r="AX149" s="55" t="str">
        <f t="shared" si="40"/>
        <v/>
      </c>
      <c r="AY149" s="55" t="str">
        <f t="shared" si="40"/>
        <v/>
      </c>
      <c r="AZ149" s="55" t="str">
        <f t="shared" si="40"/>
        <v/>
      </c>
      <c r="BA149" s="55" t="str">
        <f t="shared" si="40"/>
        <v/>
      </c>
      <c r="BB149" s="55" t="str">
        <f t="shared" si="40"/>
        <v/>
      </c>
      <c r="BC149" s="55" t="str">
        <f t="shared" si="40"/>
        <v/>
      </c>
      <c r="BD149" s="55" t="str">
        <f t="shared" si="40"/>
        <v/>
      </c>
      <c r="BE149" s="55" t="str">
        <f t="shared" si="40"/>
        <v/>
      </c>
      <c r="BF149" s="55" t="str">
        <f t="shared" si="40"/>
        <v/>
      </c>
      <c r="BG149" s="55" t="str">
        <f t="shared" si="40"/>
        <v/>
      </c>
      <c r="BH149" s="55" t="str">
        <f t="shared" si="40"/>
        <v/>
      </c>
      <c r="BI149" s="55" t="str">
        <f t="shared" si="40"/>
        <v/>
      </c>
      <c r="BJ149" s="55" t="str">
        <f t="shared" si="40"/>
        <v/>
      </c>
      <c r="BK149" s="55" t="str">
        <f t="shared" si="40"/>
        <v/>
      </c>
      <c r="BL149" s="55" t="str">
        <f t="shared" si="40"/>
        <v/>
      </c>
      <c r="BM149" s="55" t="str">
        <f t="shared" si="40"/>
        <v/>
      </c>
      <c r="BN149" s="55" t="str">
        <f t="shared" si="40"/>
        <v/>
      </c>
      <c r="BO149" s="55" t="str">
        <f t="shared" si="40"/>
        <v/>
      </c>
      <c r="BP149" s="55" t="str">
        <f t="shared" si="40"/>
        <v/>
      </c>
      <c r="BQ149" s="55" t="str">
        <f t="shared" si="40"/>
        <v/>
      </c>
      <c r="BR149" s="55" t="str">
        <f t="shared" si="40"/>
        <v/>
      </c>
      <c r="BS149" s="55" t="str">
        <f t="shared" si="40"/>
        <v/>
      </c>
      <c r="BT149" s="55" t="str">
        <f t="shared" ref="BT149:EE149" si="41">IF(BT151&lt;&gt;"",TEXT(BT151,"ddd"),"")</f>
        <v/>
      </c>
      <c r="BU149" s="55" t="str">
        <f t="shared" si="41"/>
        <v/>
      </c>
      <c r="BV149" s="55" t="str">
        <f t="shared" si="41"/>
        <v/>
      </c>
      <c r="BW149" s="55" t="str">
        <f t="shared" si="41"/>
        <v/>
      </c>
      <c r="BX149" s="55" t="str">
        <f t="shared" si="41"/>
        <v/>
      </c>
      <c r="BY149" s="55" t="str">
        <f t="shared" si="41"/>
        <v/>
      </c>
      <c r="BZ149" s="55" t="str">
        <f t="shared" si="41"/>
        <v/>
      </c>
      <c r="CA149" s="55" t="str">
        <f t="shared" si="41"/>
        <v/>
      </c>
      <c r="CB149" s="55" t="str">
        <f t="shared" si="41"/>
        <v/>
      </c>
      <c r="CC149" s="55" t="str">
        <f t="shared" si="41"/>
        <v/>
      </c>
      <c r="CD149" s="55" t="str">
        <f t="shared" si="41"/>
        <v/>
      </c>
      <c r="CE149" s="55" t="str">
        <f t="shared" si="41"/>
        <v/>
      </c>
      <c r="CF149" s="55" t="str">
        <f t="shared" si="41"/>
        <v/>
      </c>
      <c r="CG149" s="55" t="str">
        <f t="shared" si="41"/>
        <v/>
      </c>
      <c r="CH149" s="55" t="str">
        <f t="shared" si="41"/>
        <v/>
      </c>
      <c r="CI149" s="55" t="str">
        <f t="shared" si="41"/>
        <v/>
      </c>
      <c r="CJ149" s="55" t="str">
        <f t="shared" si="41"/>
        <v/>
      </c>
      <c r="CK149" s="55" t="str">
        <f t="shared" si="41"/>
        <v/>
      </c>
      <c r="CL149" s="55" t="str">
        <f t="shared" si="41"/>
        <v/>
      </c>
      <c r="CM149" s="55" t="str">
        <f t="shared" si="41"/>
        <v/>
      </c>
      <c r="CN149" s="55" t="str">
        <f t="shared" si="41"/>
        <v/>
      </c>
      <c r="CO149" s="55" t="str">
        <f t="shared" si="41"/>
        <v/>
      </c>
      <c r="CP149" s="55" t="str">
        <f t="shared" si="41"/>
        <v/>
      </c>
      <c r="CQ149" s="55" t="str">
        <f t="shared" si="41"/>
        <v/>
      </c>
      <c r="CR149" s="55" t="str">
        <f t="shared" si="41"/>
        <v/>
      </c>
      <c r="CS149" s="55" t="str">
        <f t="shared" si="41"/>
        <v/>
      </c>
      <c r="CT149" s="55" t="str">
        <f t="shared" si="41"/>
        <v/>
      </c>
      <c r="CU149" s="55" t="str">
        <f t="shared" si="41"/>
        <v/>
      </c>
      <c r="CV149" s="55" t="str">
        <f t="shared" si="41"/>
        <v/>
      </c>
      <c r="CW149" s="55" t="str">
        <f t="shared" si="41"/>
        <v/>
      </c>
      <c r="CX149" s="55" t="str">
        <f t="shared" si="41"/>
        <v/>
      </c>
      <c r="CY149" s="55" t="str">
        <f t="shared" si="41"/>
        <v/>
      </c>
      <c r="CZ149" s="55" t="str">
        <f t="shared" si="41"/>
        <v/>
      </c>
      <c r="DA149" s="55" t="str">
        <f t="shared" si="41"/>
        <v/>
      </c>
      <c r="DB149" s="55" t="str">
        <f t="shared" si="41"/>
        <v/>
      </c>
      <c r="DC149" s="55" t="str">
        <f t="shared" si="41"/>
        <v/>
      </c>
      <c r="DD149" s="55" t="str">
        <f t="shared" si="41"/>
        <v/>
      </c>
      <c r="DE149" s="55" t="str">
        <f t="shared" si="41"/>
        <v/>
      </c>
      <c r="DF149" s="55" t="str">
        <f t="shared" si="41"/>
        <v/>
      </c>
      <c r="DG149" s="55" t="str">
        <f t="shared" si="41"/>
        <v/>
      </c>
      <c r="DH149" s="55" t="str">
        <f t="shared" si="41"/>
        <v/>
      </c>
      <c r="DI149" s="55" t="str">
        <f t="shared" si="41"/>
        <v/>
      </c>
      <c r="DJ149" s="55" t="str">
        <f t="shared" si="41"/>
        <v/>
      </c>
      <c r="DK149" s="55" t="str">
        <f t="shared" si="41"/>
        <v/>
      </c>
      <c r="DL149" s="55" t="str">
        <f t="shared" si="41"/>
        <v/>
      </c>
      <c r="DM149" s="55" t="str">
        <f t="shared" si="41"/>
        <v/>
      </c>
      <c r="DN149" s="55" t="str">
        <f t="shared" si="41"/>
        <v/>
      </c>
      <c r="DO149" s="55" t="str">
        <f t="shared" si="41"/>
        <v/>
      </c>
      <c r="DP149" s="55" t="str">
        <f t="shared" si="41"/>
        <v/>
      </c>
      <c r="DQ149" s="55" t="str">
        <f t="shared" si="41"/>
        <v/>
      </c>
      <c r="DR149" s="55" t="str">
        <f t="shared" si="41"/>
        <v/>
      </c>
      <c r="DS149" s="55" t="str">
        <f t="shared" si="41"/>
        <v/>
      </c>
      <c r="DT149" s="55" t="str">
        <f t="shared" si="41"/>
        <v/>
      </c>
      <c r="DU149" s="55" t="str">
        <f t="shared" si="41"/>
        <v/>
      </c>
      <c r="DV149" s="55" t="str">
        <f t="shared" si="41"/>
        <v/>
      </c>
      <c r="DW149" s="55" t="str">
        <f t="shared" si="41"/>
        <v/>
      </c>
      <c r="DX149" s="55" t="str">
        <f t="shared" si="41"/>
        <v/>
      </c>
      <c r="DY149" s="55" t="str">
        <f t="shared" si="41"/>
        <v/>
      </c>
      <c r="DZ149" s="55" t="str">
        <f t="shared" si="41"/>
        <v/>
      </c>
      <c r="EA149" s="55" t="str">
        <f t="shared" si="41"/>
        <v/>
      </c>
      <c r="EB149" s="55" t="str">
        <f t="shared" si="41"/>
        <v/>
      </c>
      <c r="EC149" s="55" t="str">
        <f t="shared" si="41"/>
        <v/>
      </c>
      <c r="ED149" s="55" t="str">
        <f t="shared" si="41"/>
        <v/>
      </c>
      <c r="EE149" s="55" t="str">
        <f t="shared" si="41"/>
        <v/>
      </c>
      <c r="EF149" s="55" t="str">
        <f t="shared" ref="EF149:GQ149" si="42">IF(EF151&lt;&gt;"",TEXT(EF151,"ddd"),"")</f>
        <v/>
      </c>
      <c r="EG149" s="55" t="str">
        <f t="shared" si="42"/>
        <v/>
      </c>
      <c r="EH149" s="55" t="str">
        <f t="shared" si="42"/>
        <v/>
      </c>
      <c r="EI149" s="55" t="str">
        <f t="shared" si="42"/>
        <v/>
      </c>
      <c r="EJ149" s="55" t="str">
        <f t="shared" si="42"/>
        <v/>
      </c>
      <c r="EK149" s="55" t="str">
        <f t="shared" si="42"/>
        <v/>
      </c>
      <c r="EL149" s="55" t="str">
        <f t="shared" si="42"/>
        <v/>
      </c>
      <c r="EM149" s="55" t="str">
        <f t="shared" si="42"/>
        <v/>
      </c>
      <c r="EN149" s="55" t="str">
        <f t="shared" si="42"/>
        <v/>
      </c>
      <c r="EO149" s="55" t="str">
        <f t="shared" si="42"/>
        <v/>
      </c>
      <c r="EP149" s="55" t="str">
        <f t="shared" si="42"/>
        <v/>
      </c>
      <c r="EQ149" s="55" t="str">
        <f t="shared" si="42"/>
        <v/>
      </c>
      <c r="ER149" s="55" t="str">
        <f t="shared" si="42"/>
        <v/>
      </c>
      <c r="ES149" s="55" t="str">
        <f t="shared" si="42"/>
        <v/>
      </c>
      <c r="ET149" s="55" t="str">
        <f t="shared" si="42"/>
        <v/>
      </c>
      <c r="EU149" s="55" t="str">
        <f t="shared" si="42"/>
        <v/>
      </c>
      <c r="EV149" s="55" t="str">
        <f t="shared" si="42"/>
        <v/>
      </c>
      <c r="EW149" s="55" t="str">
        <f t="shared" si="42"/>
        <v/>
      </c>
      <c r="EX149" s="55" t="str">
        <f t="shared" si="42"/>
        <v/>
      </c>
      <c r="EY149" s="55" t="str">
        <f t="shared" si="42"/>
        <v/>
      </c>
      <c r="EZ149" s="55" t="str">
        <f t="shared" si="42"/>
        <v/>
      </c>
      <c r="FA149" s="55" t="str">
        <f t="shared" si="42"/>
        <v/>
      </c>
      <c r="FB149" s="55" t="str">
        <f t="shared" si="42"/>
        <v/>
      </c>
      <c r="FC149" s="55" t="str">
        <f t="shared" si="42"/>
        <v/>
      </c>
      <c r="FD149" s="55" t="str">
        <f t="shared" si="42"/>
        <v/>
      </c>
      <c r="FE149" s="55" t="str">
        <f t="shared" si="42"/>
        <v/>
      </c>
      <c r="FF149" s="55" t="str">
        <f t="shared" si="42"/>
        <v/>
      </c>
      <c r="FG149" s="55" t="str">
        <f t="shared" si="42"/>
        <v/>
      </c>
      <c r="FH149" s="55" t="str">
        <f t="shared" si="42"/>
        <v/>
      </c>
      <c r="FI149" s="55" t="str">
        <f t="shared" si="42"/>
        <v/>
      </c>
      <c r="FJ149" s="55" t="str">
        <f t="shared" si="42"/>
        <v/>
      </c>
      <c r="FK149" s="55" t="str">
        <f t="shared" si="42"/>
        <v/>
      </c>
      <c r="FL149" s="55" t="str">
        <f t="shared" si="42"/>
        <v/>
      </c>
      <c r="FM149" s="55" t="str">
        <f t="shared" si="42"/>
        <v/>
      </c>
      <c r="FN149" s="55" t="str">
        <f t="shared" si="42"/>
        <v/>
      </c>
      <c r="FO149" s="55" t="str">
        <f t="shared" si="42"/>
        <v/>
      </c>
      <c r="FP149" s="55" t="str">
        <f t="shared" si="42"/>
        <v/>
      </c>
      <c r="FQ149" s="55" t="str">
        <f t="shared" si="42"/>
        <v/>
      </c>
      <c r="FR149" s="55" t="str">
        <f t="shared" si="42"/>
        <v/>
      </c>
      <c r="FS149" s="55" t="str">
        <f t="shared" si="42"/>
        <v/>
      </c>
      <c r="FT149" s="55" t="str">
        <f t="shared" si="42"/>
        <v/>
      </c>
      <c r="FU149" s="55" t="str">
        <f t="shared" si="42"/>
        <v/>
      </c>
      <c r="FV149" s="55" t="str">
        <f t="shared" si="42"/>
        <v/>
      </c>
      <c r="FW149" s="55" t="str">
        <f t="shared" si="42"/>
        <v/>
      </c>
      <c r="FX149" s="55" t="str">
        <f t="shared" si="42"/>
        <v/>
      </c>
      <c r="FY149" s="55" t="str">
        <f t="shared" si="42"/>
        <v/>
      </c>
      <c r="FZ149" s="55" t="str">
        <f t="shared" si="42"/>
        <v/>
      </c>
      <c r="GA149" s="55" t="str">
        <f t="shared" si="42"/>
        <v/>
      </c>
      <c r="GB149" s="55" t="str">
        <f t="shared" si="42"/>
        <v/>
      </c>
      <c r="GC149" s="55" t="str">
        <f t="shared" si="42"/>
        <v/>
      </c>
      <c r="GD149" s="55" t="str">
        <f t="shared" si="42"/>
        <v/>
      </c>
      <c r="GE149" s="55" t="str">
        <f t="shared" si="42"/>
        <v/>
      </c>
      <c r="GF149" s="55" t="str">
        <f t="shared" si="42"/>
        <v/>
      </c>
      <c r="GG149" s="55" t="str">
        <f t="shared" si="42"/>
        <v/>
      </c>
      <c r="GH149" s="55" t="str">
        <f t="shared" si="42"/>
        <v/>
      </c>
      <c r="GI149" s="55" t="str">
        <f t="shared" si="42"/>
        <v/>
      </c>
      <c r="GJ149" s="55" t="str">
        <f t="shared" si="42"/>
        <v/>
      </c>
      <c r="GK149" s="55" t="str">
        <f t="shared" si="42"/>
        <v/>
      </c>
      <c r="GL149" s="55" t="str">
        <f t="shared" si="42"/>
        <v/>
      </c>
      <c r="GM149" s="55" t="str">
        <f t="shared" si="42"/>
        <v/>
      </c>
      <c r="GN149" s="55" t="str">
        <f t="shared" si="42"/>
        <v/>
      </c>
      <c r="GO149" s="55" t="str">
        <f t="shared" si="42"/>
        <v/>
      </c>
      <c r="GP149" s="55" t="str">
        <f t="shared" si="42"/>
        <v/>
      </c>
      <c r="GQ149" s="55" t="str">
        <f t="shared" si="42"/>
        <v/>
      </c>
      <c r="GR149" s="55" t="str">
        <f>IF(GR151&lt;&gt;"",TEXT(GR151,"ddd"),"")</f>
        <v/>
      </c>
    </row>
    <row r="150" spans="1:208" s="2" customFormat="1">
      <c r="A150" s="54"/>
      <c r="B150" s="54"/>
      <c r="C150" s="54"/>
      <c r="D150" s="54"/>
      <c r="E150" s="54"/>
      <c r="F150" s="54"/>
      <c r="G150" s="54">
        <v>-5</v>
      </c>
      <c r="H150" s="54">
        <v>-4</v>
      </c>
      <c r="I150" s="54">
        <v>-3</v>
      </c>
      <c r="J150" s="54">
        <v>-2</v>
      </c>
      <c r="K150" s="54">
        <v>-1</v>
      </c>
      <c r="L150" s="54">
        <v>0</v>
      </c>
    </row>
    <row r="151" spans="1:208" ht="63.75" customHeight="1">
      <c r="A151" s="78" t="s">
        <v>26</v>
      </c>
      <c r="B151" s="78" t="s">
        <v>27</v>
      </c>
      <c r="C151" s="78" t="s">
        <v>28</v>
      </c>
      <c r="D151" s="78" t="s">
        <v>29</v>
      </c>
      <c r="E151" s="78" t="s">
        <v>30</v>
      </c>
      <c r="F151" s="79" t="s">
        <v>31</v>
      </c>
      <c r="G151" s="39" t="e">
        <f>+H151-1</f>
        <v>#REF!</v>
      </c>
      <c r="H151" s="39" t="e">
        <f>+I151-1</f>
        <v>#REF!</v>
      </c>
      <c r="I151" s="39" t="e">
        <f>+J151-1</f>
        <v>#REF!</v>
      </c>
      <c r="J151" s="39" t="e">
        <f>+K151-1</f>
        <v>#REF!</v>
      </c>
      <c r="K151" s="39" t="e">
        <f>+L151-1</f>
        <v>#REF!</v>
      </c>
      <c r="L151" s="40" t="e">
        <f>B149</f>
        <v>#REF!</v>
      </c>
      <c r="M151" t="str">
        <f>+IF(M150&gt;0,$L$151+M150,"")</f>
        <v/>
      </c>
      <c r="N151" t="str">
        <f t="shared" ref="N151:BY151" si="43">+IF(N150&gt;0,$L$151+N150,"")</f>
        <v/>
      </c>
      <c r="O151" t="str">
        <f t="shared" si="43"/>
        <v/>
      </c>
      <c r="P151" t="str">
        <f t="shared" si="43"/>
        <v/>
      </c>
      <c r="Q151" t="str">
        <f t="shared" si="43"/>
        <v/>
      </c>
      <c r="R151" t="str">
        <f t="shared" si="43"/>
        <v/>
      </c>
      <c r="S151" t="str">
        <f t="shared" si="43"/>
        <v/>
      </c>
      <c r="T151" t="str">
        <f t="shared" si="43"/>
        <v/>
      </c>
      <c r="U151" t="str">
        <f t="shared" si="43"/>
        <v/>
      </c>
      <c r="V151" t="str">
        <f t="shared" si="43"/>
        <v/>
      </c>
      <c r="W151" t="str">
        <f t="shared" si="43"/>
        <v/>
      </c>
      <c r="X151" t="str">
        <f t="shared" si="43"/>
        <v/>
      </c>
      <c r="Y151" t="str">
        <f t="shared" si="43"/>
        <v/>
      </c>
      <c r="Z151" t="str">
        <f t="shared" si="43"/>
        <v/>
      </c>
      <c r="AA151" t="str">
        <f t="shared" si="43"/>
        <v/>
      </c>
      <c r="AB151" t="str">
        <f t="shared" si="43"/>
        <v/>
      </c>
      <c r="AC151" t="str">
        <f t="shared" si="43"/>
        <v/>
      </c>
      <c r="AD151" t="str">
        <f t="shared" si="43"/>
        <v/>
      </c>
      <c r="AE151" t="str">
        <f t="shared" si="43"/>
        <v/>
      </c>
      <c r="AF151" t="str">
        <f t="shared" si="43"/>
        <v/>
      </c>
      <c r="AG151" t="str">
        <f t="shared" si="43"/>
        <v/>
      </c>
      <c r="AH151" t="str">
        <f t="shared" si="43"/>
        <v/>
      </c>
      <c r="AI151" t="str">
        <f t="shared" si="43"/>
        <v/>
      </c>
      <c r="AJ151" t="str">
        <f t="shared" si="43"/>
        <v/>
      </c>
      <c r="AK151" t="str">
        <f t="shared" si="43"/>
        <v/>
      </c>
      <c r="AL151" t="str">
        <f t="shared" si="43"/>
        <v/>
      </c>
      <c r="AM151" t="str">
        <f t="shared" si="43"/>
        <v/>
      </c>
      <c r="AN151" t="str">
        <f t="shared" si="43"/>
        <v/>
      </c>
      <c r="AO151" t="str">
        <f t="shared" si="43"/>
        <v/>
      </c>
      <c r="AP151" t="str">
        <f t="shared" si="43"/>
        <v/>
      </c>
      <c r="AQ151" t="str">
        <f t="shared" si="43"/>
        <v/>
      </c>
      <c r="AR151" t="str">
        <f t="shared" si="43"/>
        <v/>
      </c>
      <c r="AS151" t="str">
        <f t="shared" si="43"/>
        <v/>
      </c>
      <c r="AT151" t="str">
        <f t="shared" si="43"/>
        <v/>
      </c>
      <c r="AU151" t="str">
        <f t="shared" si="43"/>
        <v/>
      </c>
      <c r="AV151" t="str">
        <f t="shared" si="43"/>
        <v/>
      </c>
      <c r="AW151" t="str">
        <f t="shared" si="43"/>
        <v/>
      </c>
      <c r="AX151" t="str">
        <f t="shared" si="43"/>
        <v/>
      </c>
      <c r="AY151" t="str">
        <f t="shared" si="43"/>
        <v/>
      </c>
      <c r="AZ151" t="str">
        <f t="shared" si="43"/>
        <v/>
      </c>
      <c r="BA151" t="str">
        <f t="shared" si="43"/>
        <v/>
      </c>
      <c r="BB151" t="str">
        <f t="shared" si="43"/>
        <v/>
      </c>
      <c r="BC151" t="str">
        <f t="shared" si="43"/>
        <v/>
      </c>
      <c r="BD151" t="str">
        <f t="shared" si="43"/>
        <v/>
      </c>
      <c r="BE151" t="str">
        <f t="shared" si="43"/>
        <v/>
      </c>
      <c r="BF151" t="str">
        <f t="shared" si="43"/>
        <v/>
      </c>
      <c r="BG151" t="str">
        <f t="shared" si="43"/>
        <v/>
      </c>
      <c r="BH151" t="str">
        <f t="shared" si="43"/>
        <v/>
      </c>
      <c r="BI151" t="str">
        <f t="shared" si="43"/>
        <v/>
      </c>
      <c r="BJ151" t="str">
        <f t="shared" si="43"/>
        <v/>
      </c>
      <c r="BK151" t="str">
        <f t="shared" si="43"/>
        <v/>
      </c>
      <c r="BL151" t="str">
        <f t="shared" si="43"/>
        <v/>
      </c>
      <c r="BM151" t="str">
        <f t="shared" si="43"/>
        <v/>
      </c>
      <c r="BN151" t="str">
        <f t="shared" si="43"/>
        <v/>
      </c>
      <c r="BO151" t="str">
        <f t="shared" si="43"/>
        <v/>
      </c>
      <c r="BP151" t="str">
        <f t="shared" si="43"/>
        <v/>
      </c>
      <c r="BQ151" t="str">
        <f t="shared" si="43"/>
        <v/>
      </c>
      <c r="BR151" t="str">
        <f t="shared" si="43"/>
        <v/>
      </c>
      <c r="BS151" t="str">
        <f t="shared" si="43"/>
        <v/>
      </c>
      <c r="BT151" t="str">
        <f t="shared" si="43"/>
        <v/>
      </c>
      <c r="BU151" t="str">
        <f t="shared" si="43"/>
        <v/>
      </c>
      <c r="BV151" t="str">
        <f t="shared" si="43"/>
        <v/>
      </c>
      <c r="BW151" t="str">
        <f t="shared" si="43"/>
        <v/>
      </c>
      <c r="BX151" t="str">
        <f t="shared" si="43"/>
        <v/>
      </c>
      <c r="BY151" t="str">
        <f t="shared" si="43"/>
        <v/>
      </c>
      <c r="BZ151" t="str">
        <f t="shared" ref="BZ151:EK151" si="44">+IF(BZ150&gt;0,$L$151+BZ150,"")</f>
        <v/>
      </c>
      <c r="CA151" t="str">
        <f t="shared" si="44"/>
        <v/>
      </c>
      <c r="CB151" t="str">
        <f t="shared" si="44"/>
        <v/>
      </c>
      <c r="CC151" t="str">
        <f t="shared" si="44"/>
        <v/>
      </c>
      <c r="CD151" t="str">
        <f t="shared" si="44"/>
        <v/>
      </c>
      <c r="CE151" t="str">
        <f t="shared" si="44"/>
        <v/>
      </c>
      <c r="CF151" t="str">
        <f t="shared" si="44"/>
        <v/>
      </c>
      <c r="CG151" t="str">
        <f t="shared" si="44"/>
        <v/>
      </c>
      <c r="CH151" t="str">
        <f t="shared" si="44"/>
        <v/>
      </c>
      <c r="CI151" t="str">
        <f t="shared" si="44"/>
        <v/>
      </c>
      <c r="CJ151" t="str">
        <f t="shared" si="44"/>
        <v/>
      </c>
      <c r="CK151" t="str">
        <f t="shared" si="44"/>
        <v/>
      </c>
      <c r="CL151" t="str">
        <f t="shared" si="44"/>
        <v/>
      </c>
      <c r="CM151" t="str">
        <f t="shared" si="44"/>
        <v/>
      </c>
      <c r="CN151" t="str">
        <f t="shared" si="44"/>
        <v/>
      </c>
      <c r="CO151" t="str">
        <f t="shared" si="44"/>
        <v/>
      </c>
      <c r="CP151" t="str">
        <f t="shared" si="44"/>
        <v/>
      </c>
      <c r="CQ151" t="str">
        <f t="shared" si="44"/>
        <v/>
      </c>
      <c r="CR151" t="str">
        <f t="shared" si="44"/>
        <v/>
      </c>
      <c r="CS151" t="str">
        <f t="shared" si="44"/>
        <v/>
      </c>
      <c r="CT151" t="str">
        <f t="shared" si="44"/>
        <v/>
      </c>
      <c r="CU151" t="str">
        <f t="shared" si="44"/>
        <v/>
      </c>
      <c r="CV151" t="str">
        <f t="shared" si="44"/>
        <v/>
      </c>
      <c r="CW151" t="str">
        <f t="shared" si="44"/>
        <v/>
      </c>
      <c r="CX151" t="str">
        <f t="shared" si="44"/>
        <v/>
      </c>
      <c r="CY151" t="str">
        <f t="shared" si="44"/>
        <v/>
      </c>
      <c r="CZ151" t="str">
        <f t="shared" si="44"/>
        <v/>
      </c>
      <c r="DA151" t="str">
        <f t="shared" si="44"/>
        <v/>
      </c>
      <c r="DB151" t="str">
        <f t="shared" si="44"/>
        <v/>
      </c>
      <c r="DC151" t="str">
        <f t="shared" si="44"/>
        <v/>
      </c>
      <c r="DD151" t="str">
        <f t="shared" si="44"/>
        <v/>
      </c>
      <c r="DE151" t="str">
        <f t="shared" si="44"/>
        <v/>
      </c>
      <c r="DF151" t="str">
        <f t="shared" si="44"/>
        <v/>
      </c>
      <c r="DG151" t="str">
        <f t="shared" si="44"/>
        <v/>
      </c>
      <c r="DH151" t="str">
        <f t="shared" si="44"/>
        <v/>
      </c>
      <c r="DI151" t="str">
        <f t="shared" si="44"/>
        <v/>
      </c>
      <c r="DJ151" t="str">
        <f t="shared" si="44"/>
        <v/>
      </c>
      <c r="DK151" t="str">
        <f t="shared" si="44"/>
        <v/>
      </c>
      <c r="DL151" t="str">
        <f t="shared" si="44"/>
        <v/>
      </c>
      <c r="DM151" t="str">
        <f t="shared" si="44"/>
        <v/>
      </c>
      <c r="DN151" t="str">
        <f t="shared" si="44"/>
        <v/>
      </c>
      <c r="DO151" t="str">
        <f t="shared" si="44"/>
        <v/>
      </c>
      <c r="DP151" t="str">
        <f t="shared" si="44"/>
        <v/>
      </c>
      <c r="DQ151" t="str">
        <f t="shared" si="44"/>
        <v/>
      </c>
      <c r="DR151" t="str">
        <f t="shared" si="44"/>
        <v/>
      </c>
      <c r="DS151" t="str">
        <f t="shared" si="44"/>
        <v/>
      </c>
      <c r="DT151" t="str">
        <f t="shared" si="44"/>
        <v/>
      </c>
      <c r="DU151" t="str">
        <f t="shared" si="44"/>
        <v/>
      </c>
      <c r="DV151" t="str">
        <f t="shared" si="44"/>
        <v/>
      </c>
      <c r="DW151" t="str">
        <f t="shared" si="44"/>
        <v/>
      </c>
      <c r="DX151" t="str">
        <f t="shared" si="44"/>
        <v/>
      </c>
      <c r="DY151" t="str">
        <f t="shared" si="44"/>
        <v/>
      </c>
      <c r="DZ151" t="str">
        <f t="shared" si="44"/>
        <v/>
      </c>
      <c r="EA151" t="str">
        <f t="shared" si="44"/>
        <v/>
      </c>
      <c r="EB151" t="str">
        <f t="shared" si="44"/>
        <v/>
      </c>
      <c r="EC151" t="str">
        <f t="shared" si="44"/>
        <v/>
      </c>
      <c r="ED151" t="str">
        <f t="shared" si="44"/>
        <v/>
      </c>
      <c r="EE151" t="str">
        <f t="shared" si="44"/>
        <v/>
      </c>
      <c r="EF151" t="str">
        <f t="shared" si="44"/>
        <v/>
      </c>
      <c r="EG151" t="str">
        <f t="shared" si="44"/>
        <v/>
      </c>
      <c r="EH151" t="str">
        <f t="shared" si="44"/>
        <v/>
      </c>
      <c r="EI151" t="str">
        <f t="shared" si="44"/>
        <v/>
      </c>
      <c r="EJ151" t="str">
        <f t="shared" si="44"/>
        <v/>
      </c>
      <c r="EK151" t="str">
        <f t="shared" si="44"/>
        <v/>
      </c>
      <c r="EL151" t="str">
        <f t="shared" ref="EL151:GW151" si="45">+IF(EL150&gt;0,$L$151+EL150,"")</f>
        <v/>
      </c>
      <c r="EM151" t="str">
        <f t="shared" si="45"/>
        <v/>
      </c>
      <c r="EN151" t="str">
        <f t="shared" si="45"/>
        <v/>
      </c>
      <c r="EO151" t="str">
        <f t="shared" si="45"/>
        <v/>
      </c>
      <c r="EP151" t="str">
        <f t="shared" si="45"/>
        <v/>
      </c>
      <c r="EQ151" t="str">
        <f t="shared" si="45"/>
        <v/>
      </c>
      <c r="ER151" t="str">
        <f t="shared" si="45"/>
        <v/>
      </c>
      <c r="ES151" t="str">
        <f t="shared" si="45"/>
        <v/>
      </c>
      <c r="ET151" t="str">
        <f t="shared" si="45"/>
        <v/>
      </c>
      <c r="EU151" t="str">
        <f t="shared" si="45"/>
        <v/>
      </c>
      <c r="EV151" t="str">
        <f t="shared" si="45"/>
        <v/>
      </c>
      <c r="EW151" t="str">
        <f t="shared" si="45"/>
        <v/>
      </c>
      <c r="EX151" t="str">
        <f t="shared" si="45"/>
        <v/>
      </c>
      <c r="EY151" t="str">
        <f t="shared" si="45"/>
        <v/>
      </c>
      <c r="EZ151" t="str">
        <f t="shared" si="45"/>
        <v/>
      </c>
      <c r="FA151" t="str">
        <f t="shared" si="45"/>
        <v/>
      </c>
      <c r="FB151" t="str">
        <f t="shared" si="45"/>
        <v/>
      </c>
      <c r="FC151" t="str">
        <f t="shared" si="45"/>
        <v/>
      </c>
      <c r="FD151" t="str">
        <f t="shared" si="45"/>
        <v/>
      </c>
      <c r="FE151" t="str">
        <f t="shared" si="45"/>
        <v/>
      </c>
      <c r="FF151" t="str">
        <f t="shared" si="45"/>
        <v/>
      </c>
      <c r="FG151" t="str">
        <f t="shared" si="45"/>
        <v/>
      </c>
      <c r="FH151" t="str">
        <f t="shared" si="45"/>
        <v/>
      </c>
      <c r="FI151" t="str">
        <f t="shared" si="45"/>
        <v/>
      </c>
      <c r="FJ151" t="str">
        <f t="shared" si="45"/>
        <v/>
      </c>
      <c r="FK151" t="str">
        <f t="shared" si="45"/>
        <v/>
      </c>
      <c r="FL151" t="str">
        <f t="shared" si="45"/>
        <v/>
      </c>
      <c r="FM151" t="str">
        <f t="shared" si="45"/>
        <v/>
      </c>
      <c r="FN151" t="str">
        <f t="shared" si="45"/>
        <v/>
      </c>
      <c r="FO151" t="str">
        <f t="shared" si="45"/>
        <v/>
      </c>
      <c r="FP151" t="str">
        <f t="shared" si="45"/>
        <v/>
      </c>
      <c r="FQ151" t="str">
        <f t="shared" si="45"/>
        <v/>
      </c>
      <c r="FR151" t="str">
        <f t="shared" si="45"/>
        <v/>
      </c>
      <c r="FS151" t="str">
        <f t="shared" si="45"/>
        <v/>
      </c>
      <c r="FT151" t="str">
        <f t="shared" si="45"/>
        <v/>
      </c>
      <c r="FU151" t="str">
        <f t="shared" si="45"/>
        <v/>
      </c>
      <c r="FV151" t="str">
        <f t="shared" si="45"/>
        <v/>
      </c>
      <c r="FW151" t="str">
        <f t="shared" si="45"/>
        <v/>
      </c>
      <c r="FX151" t="str">
        <f t="shared" si="45"/>
        <v/>
      </c>
      <c r="FY151" t="str">
        <f t="shared" si="45"/>
        <v/>
      </c>
      <c r="FZ151" t="str">
        <f t="shared" si="45"/>
        <v/>
      </c>
      <c r="GA151" t="str">
        <f t="shared" si="45"/>
        <v/>
      </c>
      <c r="GB151" t="str">
        <f t="shared" si="45"/>
        <v/>
      </c>
      <c r="GC151" t="str">
        <f t="shared" si="45"/>
        <v/>
      </c>
      <c r="GD151" t="str">
        <f t="shared" si="45"/>
        <v/>
      </c>
      <c r="GE151" t="str">
        <f t="shared" si="45"/>
        <v/>
      </c>
      <c r="GF151" t="str">
        <f t="shared" si="45"/>
        <v/>
      </c>
      <c r="GG151" t="str">
        <f t="shared" si="45"/>
        <v/>
      </c>
      <c r="GH151" t="str">
        <f t="shared" si="45"/>
        <v/>
      </c>
      <c r="GI151" t="str">
        <f t="shared" si="45"/>
        <v/>
      </c>
      <c r="GJ151" t="str">
        <f t="shared" si="45"/>
        <v/>
      </c>
      <c r="GK151" t="str">
        <f t="shared" si="45"/>
        <v/>
      </c>
      <c r="GL151" t="str">
        <f t="shared" si="45"/>
        <v/>
      </c>
      <c r="GM151" t="str">
        <f t="shared" si="45"/>
        <v/>
      </c>
      <c r="GN151" t="str">
        <f t="shared" si="45"/>
        <v/>
      </c>
      <c r="GO151" t="str">
        <f t="shared" si="45"/>
        <v/>
      </c>
      <c r="GP151" t="str">
        <f t="shared" si="45"/>
        <v/>
      </c>
      <c r="GQ151" t="str">
        <f t="shared" si="45"/>
        <v/>
      </c>
      <c r="GR151" t="str">
        <f t="shared" si="45"/>
        <v/>
      </c>
      <c r="GS151" t="str">
        <f t="shared" si="45"/>
        <v/>
      </c>
      <c r="GT151" t="str">
        <f t="shared" si="45"/>
        <v/>
      </c>
      <c r="GU151" t="str">
        <f t="shared" si="45"/>
        <v/>
      </c>
      <c r="GV151" t="str">
        <f t="shared" si="45"/>
        <v/>
      </c>
      <c r="GW151" t="str">
        <f t="shared" si="45"/>
        <v/>
      </c>
      <c r="GX151" t="str">
        <f>+IF(GX150&gt;0,$L$151+GX150,"")</f>
        <v/>
      </c>
      <c r="GY151" t="str">
        <f>+IF(GY150&gt;0,$L$151+GY150,"")</f>
        <v/>
      </c>
      <c r="GZ151" t="str">
        <f>+IF(GZ150&gt;0,$L$151+GZ150,"")</f>
        <v/>
      </c>
    </row>
    <row r="152" spans="1:208">
      <c r="A152" s="42" t="e">
        <f>+IF(#REF!&lt;&gt;"",#REF!,"")</f>
        <v>#REF!</v>
      </c>
      <c r="B152" s="42" t="e">
        <f>+IF(#REF!&lt;&gt;"",#REF!,"")</f>
        <v>#REF!</v>
      </c>
      <c r="C152" s="42" t="e">
        <f>+IF(#REF!&lt;&gt;"",#REF!,"")</f>
        <v>#REF!</v>
      </c>
      <c r="D152" s="42" t="e">
        <f>+IF(#REF!&lt;&gt;"",#REF!,"")</f>
        <v>#REF!</v>
      </c>
      <c r="E152" s="42" t="e">
        <f>+IF(#REF!&lt;&gt;"",#REF!,"")</f>
        <v>#REF!</v>
      </c>
      <c r="F152" s="43" t="e">
        <f>+IF(#REF!&lt;&gt;"",#REF!,"")</f>
        <v>#REF!</v>
      </c>
      <c r="G152" s="64"/>
      <c r="H152" s="64"/>
      <c r="I152" s="64"/>
      <c r="J152" s="64"/>
      <c r="K152" s="64"/>
      <c r="L152" s="64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  <c r="BM152" s="68"/>
      <c r="BN152" s="68"/>
      <c r="BO152" s="68"/>
      <c r="BP152" s="68"/>
      <c r="BQ152" s="68"/>
      <c r="BR152" s="68"/>
      <c r="BS152" s="68"/>
      <c r="BT152" s="68"/>
      <c r="BU152" s="68"/>
      <c r="BV152" s="68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  <c r="EU152" s="64"/>
      <c r="EV152" s="64"/>
      <c r="EW152" s="64"/>
      <c r="EX152" s="64"/>
      <c r="EY152" s="64"/>
      <c r="EZ152" s="64"/>
      <c r="FA152" s="64"/>
      <c r="FB152" s="64"/>
      <c r="FC152" s="64"/>
      <c r="FD152" s="64"/>
      <c r="FE152" s="64"/>
      <c r="FF152" s="64"/>
      <c r="FG152" s="64"/>
      <c r="FH152" s="64"/>
      <c r="FI152" s="64"/>
      <c r="FJ152" s="64"/>
      <c r="FK152" s="64"/>
      <c r="FL152" s="64"/>
      <c r="FM152" s="64"/>
      <c r="FN152" s="64"/>
      <c r="FO152" s="64"/>
      <c r="FP152" s="64"/>
      <c r="FQ152" s="64"/>
      <c r="FR152" s="64"/>
      <c r="FS152" s="64"/>
      <c r="FT152" s="64"/>
      <c r="FU152" s="64"/>
      <c r="FV152" s="64"/>
      <c r="FW152" s="64"/>
      <c r="FX152" s="64"/>
      <c r="FY152" s="64"/>
      <c r="FZ152" s="64"/>
      <c r="GA152" s="64"/>
      <c r="GB152" s="64"/>
      <c r="GC152" s="64"/>
      <c r="GD152" s="64"/>
      <c r="GE152" s="64"/>
      <c r="GF152" s="64"/>
      <c r="GG152" s="64"/>
      <c r="GH152" s="64"/>
      <c r="GI152" s="64"/>
    </row>
    <row r="153" spans="1:208">
      <c r="A153" s="42" t="e">
        <f>+IF(#REF!&lt;&gt;"",#REF!,"")</f>
        <v>#REF!</v>
      </c>
      <c r="B153" s="42" t="e">
        <f>+IF(#REF!&lt;&gt;"",#REF!,"")</f>
        <v>#REF!</v>
      </c>
      <c r="C153" s="42" t="e">
        <f>+IF(#REF!&lt;&gt;"",#REF!,"")</f>
        <v>#REF!</v>
      </c>
      <c r="D153" s="42" t="e">
        <f>+IF(#REF!&lt;&gt;"",#REF!,"")</f>
        <v>#REF!</v>
      </c>
      <c r="E153" s="42" t="e">
        <f>+IF(#REF!&lt;&gt;"",#REF!,"")</f>
        <v>#REF!</v>
      </c>
      <c r="F153" s="43" t="e">
        <f>+IF(#REF!&lt;&gt;"",#REF!,"")</f>
        <v>#REF!</v>
      </c>
      <c r="G153" s="64"/>
      <c r="H153" s="64"/>
      <c r="I153" s="64"/>
      <c r="J153" s="64"/>
      <c r="K153" s="64"/>
      <c r="L153" s="64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  <c r="BM153" s="68"/>
      <c r="BN153" s="68"/>
      <c r="BO153" s="68"/>
      <c r="BP153" s="68"/>
      <c r="BQ153" s="68"/>
      <c r="BR153" s="68"/>
      <c r="BS153" s="68"/>
      <c r="BT153" s="68"/>
      <c r="BU153" s="68"/>
      <c r="BV153" s="68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  <c r="EU153" s="64"/>
      <c r="EV153" s="64"/>
      <c r="EW153" s="64"/>
      <c r="EX153" s="64"/>
      <c r="EY153" s="64"/>
      <c r="EZ153" s="64"/>
      <c r="FA153" s="64"/>
      <c r="FB153" s="64"/>
      <c r="FC153" s="64"/>
      <c r="FD153" s="64"/>
      <c r="FE153" s="64"/>
      <c r="FF153" s="64"/>
      <c r="FG153" s="64"/>
      <c r="FH153" s="64"/>
      <c r="FI153" s="64"/>
      <c r="FJ153" s="64"/>
      <c r="FK153" s="64"/>
      <c r="FL153" s="64"/>
      <c r="FM153" s="64"/>
      <c r="FN153" s="64"/>
      <c r="FO153" s="64"/>
      <c r="FP153" s="64"/>
      <c r="FQ153" s="64"/>
      <c r="FR153" s="64"/>
      <c r="FS153" s="64"/>
      <c r="FT153" s="64"/>
      <c r="FU153" s="64"/>
      <c r="FV153" s="64"/>
      <c r="FW153" s="64"/>
      <c r="FX153" s="64"/>
      <c r="FY153" s="64"/>
      <c r="FZ153" s="64"/>
      <c r="GA153" s="64"/>
      <c r="GB153" s="64"/>
      <c r="GC153" s="64"/>
      <c r="GD153" s="64"/>
      <c r="GE153" s="64"/>
      <c r="GF153" s="64"/>
      <c r="GG153" s="64"/>
      <c r="GH153" s="64"/>
      <c r="GI153" s="64"/>
    </row>
    <row r="154" spans="1:208">
      <c r="A154" s="42" t="e">
        <f>+IF(#REF!&lt;&gt;"",#REF!,"")</f>
        <v>#REF!</v>
      </c>
      <c r="B154" s="42" t="e">
        <f>+IF(#REF!&lt;&gt;"",#REF!,"")</f>
        <v>#REF!</v>
      </c>
      <c r="C154" s="42" t="e">
        <f>+IF(#REF!&lt;&gt;"",#REF!,"")</f>
        <v>#REF!</v>
      </c>
      <c r="D154" s="42" t="e">
        <f>+IF(#REF!&lt;&gt;"",#REF!,"")</f>
        <v>#REF!</v>
      </c>
      <c r="E154" s="42" t="e">
        <f>+IF(#REF!&lt;&gt;"",#REF!,"")</f>
        <v>#REF!</v>
      </c>
      <c r="F154" s="43" t="e">
        <f>+IF(#REF!&lt;&gt;"",#REF!,"")</f>
        <v>#REF!</v>
      </c>
      <c r="G154" s="64"/>
      <c r="H154" s="64"/>
      <c r="I154" s="64"/>
      <c r="J154" s="64"/>
      <c r="K154" s="64"/>
      <c r="L154" s="64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  <c r="BP154" s="68"/>
      <c r="BQ154" s="68"/>
      <c r="BR154" s="68"/>
      <c r="BS154" s="68"/>
      <c r="BT154" s="68"/>
      <c r="BU154" s="68"/>
      <c r="BV154" s="68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  <c r="EU154" s="64"/>
      <c r="EV154" s="64"/>
      <c r="EW154" s="64"/>
      <c r="EX154" s="64"/>
      <c r="EY154" s="64"/>
      <c r="EZ154" s="64"/>
      <c r="FA154" s="64"/>
      <c r="FB154" s="64"/>
      <c r="FC154" s="64"/>
      <c r="FD154" s="64"/>
      <c r="FE154" s="64"/>
      <c r="FF154" s="64"/>
      <c r="FG154" s="64"/>
      <c r="FH154" s="64"/>
      <c r="FI154" s="64"/>
      <c r="FJ154" s="64"/>
      <c r="FK154" s="64"/>
      <c r="FL154" s="64"/>
      <c r="FM154" s="64"/>
      <c r="FN154" s="64"/>
      <c r="FO154" s="64"/>
      <c r="FP154" s="64"/>
      <c r="FQ154" s="64"/>
      <c r="FR154" s="64"/>
      <c r="FS154" s="64"/>
      <c r="FT154" s="64"/>
      <c r="FU154" s="64"/>
      <c r="FV154" s="64"/>
      <c r="FW154" s="64"/>
      <c r="FX154" s="64"/>
      <c r="FY154" s="64"/>
      <c r="FZ154" s="64"/>
      <c r="GA154" s="64"/>
      <c r="GB154" s="64"/>
      <c r="GC154" s="64"/>
      <c r="GD154" s="64"/>
      <c r="GE154" s="64"/>
      <c r="GF154" s="64"/>
      <c r="GG154" s="64"/>
      <c r="GH154" s="64"/>
      <c r="GI154" s="64"/>
    </row>
    <row r="155" spans="1:208">
      <c r="A155" s="42" t="e">
        <f>+IF(#REF!&lt;&gt;"",#REF!,"")</f>
        <v>#REF!</v>
      </c>
      <c r="B155" s="42" t="e">
        <f>+IF(#REF!&lt;&gt;"",#REF!,"")</f>
        <v>#REF!</v>
      </c>
      <c r="C155" s="42" t="e">
        <f>+IF(#REF!&lt;&gt;"",#REF!,"")</f>
        <v>#REF!</v>
      </c>
      <c r="D155" s="42" t="e">
        <f>+IF(#REF!&lt;&gt;"",#REF!,"")</f>
        <v>#REF!</v>
      </c>
      <c r="E155" s="42" t="e">
        <f>+IF(#REF!&lt;&gt;"",#REF!,"")</f>
        <v>#REF!</v>
      </c>
      <c r="F155" s="43" t="e">
        <f>+IF(#REF!&lt;&gt;"",#REF!,"")</f>
        <v>#REF!</v>
      </c>
      <c r="G155" s="64"/>
      <c r="H155" s="64"/>
      <c r="I155" s="64"/>
      <c r="J155" s="64"/>
      <c r="K155" s="64"/>
      <c r="L155" s="64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  <c r="BM155" s="68"/>
      <c r="BN155" s="68"/>
      <c r="BO155" s="68"/>
      <c r="BP155" s="68"/>
      <c r="BQ155" s="68"/>
      <c r="BR155" s="68"/>
      <c r="BS155" s="68"/>
      <c r="BT155" s="68"/>
      <c r="BU155" s="68"/>
      <c r="BV155" s="68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  <c r="EU155" s="64"/>
      <c r="EV155" s="64"/>
      <c r="EW155" s="64"/>
      <c r="EX155" s="64"/>
      <c r="EY155" s="64"/>
      <c r="EZ155" s="64"/>
      <c r="FA155" s="64"/>
      <c r="FB155" s="64"/>
      <c r="FC155" s="64"/>
      <c r="FD155" s="64"/>
      <c r="FE155" s="64"/>
      <c r="FF155" s="64"/>
      <c r="FG155" s="64"/>
      <c r="FH155" s="64"/>
      <c r="FI155" s="64"/>
      <c r="FJ155" s="64"/>
      <c r="FK155" s="64"/>
      <c r="FL155" s="64"/>
      <c r="FM155" s="64"/>
      <c r="FN155" s="64"/>
      <c r="FO155" s="64"/>
      <c r="FP155" s="64"/>
      <c r="FQ155" s="64"/>
      <c r="FR155" s="64"/>
      <c r="FS155" s="64"/>
      <c r="FT155" s="64"/>
      <c r="FU155" s="64"/>
      <c r="FV155" s="64"/>
      <c r="FW155" s="64"/>
      <c r="FX155" s="64"/>
      <c r="FY155" s="64"/>
      <c r="FZ155" s="64"/>
      <c r="GA155" s="64"/>
      <c r="GB155" s="64"/>
      <c r="GC155" s="64"/>
      <c r="GD155" s="64"/>
      <c r="GE155" s="64"/>
      <c r="GF155" s="64"/>
      <c r="GG155" s="64"/>
      <c r="GH155" s="64"/>
      <c r="GI155" s="64"/>
    </row>
    <row r="156" spans="1:208">
      <c r="A156" s="42" t="e">
        <f>+IF(#REF!&lt;&gt;"",#REF!,"")</f>
        <v>#REF!</v>
      </c>
      <c r="B156" s="42" t="e">
        <f>+IF(#REF!&lt;&gt;"",#REF!,"")</f>
        <v>#REF!</v>
      </c>
      <c r="C156" s="42" t="e">
        <f>+IF(#REF!&lt;&gt;"",#REF!,"")</f>
        <v>#REF!</v>
      </c>
      <c r="D156" s="42" t="e">
        <f>+IF(#REF!&lt;&gt;"",#REF!,"")</f>
        <v>#REF!</v>
      </c>
      <c r="E156" s="42" t="e">
        <f>+IF(#REF!&lt;&gt;"",#REF!,"")</f>
        <v>#REF!</v>
      </c>
      <c r="F156" s="43" t="e">
        <f>+IF(#REF!&lt;&gt;"",#REF!,"")</f>
        <v>#REF!</v>
      </c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  <c r="EU156" s="64"/>
      <c r="EV156" s="64"/>
      <c r="EW156" s="64"/>
      <c r="EX156" s="64"/>
      <c r="EY156" s="64"/>
      <c r="EZ156" s="64"/>
      <c r="FA156" s="64"/>
      <c r="FB156" s="64"/>
      <c r="FC156" s="64"/>
      <c r="FD156" s="64"/>
      <c r="FE156" s="64"/>
      <c r="FF156" s="64"/>
      <c r="FG156" s="64"/>
      <c r="FH156" s="64"/>
      <c r="FI156" s="64"/>
      <c r="FJ156" s="64"/>
      <c r="FK156" s="64"/>
      <c r="FL156" s="64"/>
      <c r="FM156" s="64"/>
      <c r="FN156" s="64"/>
      <c r="FO156" s="64"/>
      <c r="FP156" s="64"/>
      <c r="FQ156" s="64"/>
      <c r="FR156" s="64"/>
      <c r="FS156" s="64"/>
      <c r="FT156" s="64"/>
      <c r="FU156" s="64"/>
      <c r="FV156" s="64"/>
      <c r="FW156" s="64"/>
      <c r="FX156" s="64"/>
      <c r="FY156" s="64"/>
      <c r="FZ156" s="64"/>
      <c r="GA156" s="64"/>
      <c r="GB156" s="64"/>
      <c r="GC156" s="64"/>
      <c r="GD156" s="64"/>
      <c r="GE156" s="64"/>
      <c r="GF156" s="64"/>
      <c r="GG156" s="64"/>
      <c r="GH156" s="64"/>
      <c r="GI156" s="64"/>
    </row>
    <row r="159" spans="1:208">
      <c r="A159" s="66" t="s">
        <v>32</v>
      </c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</row>
    <row r="160" spans="1:208">
      <c r="A160" s="275" t="s">
        <v>33</v>
      </c>
      <c r="B160" s="275"/>
      <c r="C160" s="275"/>
      <c r="D160" s="275"/>
      <c r="E160" s="275"/>
      <c r="F160" s="65" t="e">
        <f>+B149</f>
        <v>#REF!</v>
      </c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  <c r="DY160" s="63"/>
      <c r="DZ160" s="63"/>
      <c r="EA160" s="63"/>
      <c r="EB160" s="63"/>
      <c r="EC160" s="63"/>
      <c r="ED160" s="63"/>
      <c r="EE160" s="63"/>
      <c r="EF160" s="63"/>
      <c r="EG160" s="63"/>
      <c r="EH160" s="63"/>
      <c r="EI160" s="63"/>
      <c r="EJ160" s="63"/>
      <c r="EK160" s="63"/>
      <c r="EL160" s="63"/>
      <c r="EM160" s="63"/>
      <c r="EN160" s="63"/>
      <c r="EO160" s="63"/>
      <c r="EP160" s="63"/>
      <c r="EQ160" s="63"/>
      <c r="ER160" s="63"/>
      <c r="ES160" s="63"/>
      <c r="ET160" s="63"/>
      <c r="EU160" s="63"/>
      <c r="EV160" s="63"/>
      <c r="EW160" s="63"/>
      <c r="EX160" s="63"/>
      <c r="EY160" s="63"/>
      <c r="EZ160" s="63"/>
      <c r="FA160" s="63"/>
      <c r="FB160" s="63"/>
      <c r="FC160" s="63"/>
      <c r="FD160" s="63"/>
      <c r="FE160" s="63"/>
      <c r="FF160" s="63"/>
      <c r="FG160" s="63"/>
      <c r="FH160" s="63"/>
      <c r="FI160" s="63"/>
      <c r="FJ160" s="63"/>
      <c r="FK160" s="63"/>
      <c r="FL160" s="63"/>
      <c r="FM160" s="63"/>
    </row>
    <row r="165" spans="1:144">
      <c r="A165" s="66" t="s">
        <v>34</v>
      </c>
    </row>
    <row r="166" spans="1:144" ht="25.5">
      <c r="A166" s="41" t="s">
        <v>26</v>
      </c>
      <c r="B166" s="41" t="s">
        <v>27</v>
      </c>
      <c r="C166" s="41" t="s">
        <v>28</v>
      </c>
      <c r="D166" s="41" t="s">
        <v>29</v>
      </c>
      <c r="E166" s="41" t="s">
        <v>30</v>
      </c>
      <c r="F166" s="41" t="s">
        <v>31</v>
      </c>
    </row>
    <row r="167" spans="1:144">
      <c r="A167" s="70"/>
      <c r="B167" s="70"/>
      <c r="C167" s="70"/>
      <c r="D167" s="70"/>
      <c r="E167" s="70"/>
      <c r="F167" s="70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  <c r="EA167" s="64"/>
      <c r="EB167" s="64"/>
      <c r="EC167" s="64"/>
      <c r="ED167" s="64"/>
      <c r="EE167" s="64"/>
      <c r="EF167" s="64"/>
      <c r="EG167" s="64"/>
      <c r="EH167" s="64"/>
      <c r="EI167" s="64"/>
      <c r="EJ167" s="64"/>
      <c r="EK167" s="64"/>
      <c r="EL167" s="64"/>
      <c r="EM167" s="64"/>
      <c r="EN167" s="64"/>
    </row>
    <row r="168" spans="1:144">
      <c r="A168" s="70"/>
      <c r="B168" s="70"/>
      <c r="C168" s="70"/>
      <c r="D168" s="70"/>
      <c r="E168" s="70"/>
      <c r="F168" s="70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  <c r="EA168" s="64"/>
      <c r="EB168" s="64"/>
      <c r="EC168" s="64"/>
      <c r="ED168" s="64"/>
      <c r="EE168" s="64"/>
      <c r="EF168" s="64"/>
      <c r="EG168" s="64"/>
      <c r="EH168" s="64"/>
      <c r="EI168" s="64"/>
      <c r="EJ168" s="64"/>
      <c r="EK168" s="64"/>
      <c r="EL168" s="64"/>
      <c r="EM168" s="64"/>
      <c r="EN168" s="64"/>
    </row>
    <row r="169" spans="1:144">
      <c r="A169" s="70"/>
      <c r="B169" s="70"/>
      <c r="C169" s="70"/>
      <c r="D169" s="70"/>
      <c r="E169" s="70"/>
      <c r="F169" s="70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  <c r="EA169" s="64"/>
      <c r="EB169" s="64"/>
      <c r="EC169" s="64"/>
      <c r="ED169" s="64"/>
      <c r="EE169" s="64"/>
      <c r="EF169" s="64"/>
      <c r="EG169" s="64"/>
      <c r="EH169" s="64"/>
      <c r="EI169" s="64"/>
      <c r="EJ169" s="64"/>
      <c r="EK169" s="64"/>
      <c r="EL169" s="64"/>
      <c r="EM169" s="64"/>
      <c r="EN169" s="64"/>
    </row>
    <row r="170" spans="1:144">
      <c r="A170" s="70"/>
      <c r="B170" s="70"/>
      <c r="C170" s="70"/>
      <c r="D170" s="70"/>
      <c r="E170" s="70"/>
      <c r="F170" s="70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  <c r="EA170" s="64"/>
      <c r="EB170" s="64"/>
      <c r="EC170" s="64"/>
      <c r="ED170" s="64"/>
      <c r="EE170" s="64"/>
      <c r="EF170" s="64"/>
      <c r="EG170" s="64"/>
      <c r="EH170" s="64"/>
      <c r="EI170" s="64"/>
      <c r="EJ170" s="64"/>
      <c r="EK170" s="64"/>
      <c r="EL170" s="64"/>
      <c r="EM170" s="64"/>
      <c r="EN170" s="64"/>
    </row>
    <row r="171" spans="1:144">
      <c r="A171" s="70"/>
      <c r="B171" s="70"/>
      <c r="C171" s="70"/>
      <c r="D171" s="70"/>
      <c r="E171" s="70"/>
      <c r="F171" s="70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  <c r="EA171" s="64"/>
      <c r="EB171" s="64"/>
      <c r="EC171" s="64"/>
      <c r="ED171" s="64"/>
      <c r="EE171" s="64"/>
      <c r="EF171" s="64"/>
      <c r="EG171" s="64"/>
      <c r="EH171" s="64"/>
      <c r="EI171" s="64"/>
      <c r="EJ171" s="64"/>
      <c r="EK171" s="64"/>
      <c r="EL171" s="64"/>
      <c r="EM171" s="64"/>
      <c r="EN171" s="64"/>
    </row>
    <row r="172" spans="1:144">
      <c r="A172" s="70"/>
      <c r="B172" s="70"/>
      <c r="C172" s="70"/>
      <c r="D172" s="70"/>
      <c r="E172" s="70"/>
      <c r="F172" s="70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  <c r="EA172" s="64"/>
      <c r="EB172" s="64"/>
      <c r="EC172" s="64"/>
      <c r="ED172" s="64"/>
      <c r="EE172" s="64"/>
      <c r="EF172" s="64"/>
      <c r="EG172" s="64"/>
      <c r="EH172" s="64"/>
      <c r="EI172" s="64"/>
      <c r="EJ172" s="64"/>
      <c r="EK172" s="64"/>
      <c r="EL172" s="64"/>
      <c r="EM172" s="64"/>
      <c r="EN172" s="64"/>
    </row>
    <row r="173" spans="1:144">
      <c r="A173" s="70"/>
      <c r="B173" s="70"/>
      <c r="C173" s="70"/>
      <c r="D173" s="70"/>
      <c r="E173" s="70"/>
      <c r="F173" s="70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  <c r="EA173" s="64"/>
      <c r="EB173" s="64"/>
      <c r="EC173" s="64"/>
      <c r="ED173" s="64"/>
      <c r="EE173" s="64"/>
      <c r="EF173" s="64"/>
      <c r="EG173" s="64"/>
      <c r="EH173" s="64"/>
      <c r="EI173" s="64"/>
      <c r="EJ173" s="64"/>
      <c r="EK173" s="64"/>
      <c r="EL173" s="64"/>
      <c r="EM173" s="64"/>
      <c r="EN173" s="64"/>
    </row>
    <row r="174" spans="1:144">
      <c r="A174" s="70"/>
      <c r="B174" s="70"/>
      <c r="C174" s="70"/>
      <c r="D174" s="70"/>
      <c r="E174" s="70"/>
      <c r="F174" s="70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4"/>
      <c r="CV174" s="64"/>
      <c r="CW174" s="64"/>
      <c r="CX174" s="64"/>
      <c r="CY174" s="64"/>
      <c r="CZ174" s="64"/>
      <c r="DA174" s="64"/>
      <c r="DB174" s="64"/>
      <c r="DC174" s="64"/>
      <c r="DD174" s="64"/>
      <c r="DE174" s="64"/>
      <c r="DF174" s="64"/>
      <c r="DG174" s="64"/>
      <c r="DH174" s="64"/>
      <c r="DI174" s="64"/>
      <c r="DJ174" s="64"/>
      <c r="DK174" s="64"/>
      <c r="DL174" s="64"/>
      <c r="DM174" s="64"/>
      <c r="DN174" s="64"/>
      <c r="DO174" s="64"/>
      <c r="DP174" s="64"/>
      <c r="DQ174" s="64"/>
      <c r="DR174" s="64"/>
      <c r="DS174" s="64"/>
      <c r="DT174" s="64"/>
      <c r="DU174" s="64"/>
      <c r="DV174" s="64"/>
      <c r="DW174" s="64"/>
      <c r="DX174" s="64"/>
      <c r="DY174" s="64"/>
      <c r="DZ174" s="64"/>
      <c r="EA174" s="64"/>
      <c r="EB174" s="64"/>
      <c r="EC174" s="64"/>
      <c r="ED174" s="64"/>
      <c r="EE174" s="64"/>
      <c r="EF174" s="64"/>
      <c r="EG174" s="64"/>
      <c r="EH174" s="64"/>
      <c r="EI174" s="64"/>
      <c r="EJ174" s="64"/>
      <c r="EK174" s="64"/>
      <c r="EL174" s="64"/>
      <c r="EM174" s="64"/>
      <c r="EN174" s="64"/>
    </row>
    <row r="175" spans="1:144">
      <c r="A175" s="11"/>
      <c r="B175" s="11"/>
      <c r="C175" s="11"/>
      <c r="D175" s="11"/>
      <c r="E175" s="11"/>
      <c r="F175" s="11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4"/>
      <c r="CV175" s="64"/>
      <c r="CW175" s="64"/>
      <c r="CX175" s="64"/>
      <c r="CY175" s="64"/>
      <c r="CZ175" s="64"/>
      <c r="DA175" s="64"/>
      <c r="DB175" s="64"/>
      <c r="DC175" s="64"/>
      <c r="DD175" s="64"/>
      <c r="DE175" s="64"/>
      <c r="DF175" s="64"/>
      <c r="DG175" s="64"/>
      <c r="DH175" s="64"/>
      <c r="DI175" s="64"/>
      <c r="DJ175" s="64"/>
      <c r="DK175" s="64"/>
      <c r="DL175" s="64"/>
      <c r="DM175" s="64"/>
      <c r="DN175" s="64"/>
      <c r="DO175" s="64"/>
      <c r="DP175" s="64"/>
      <c r="DQ175" s="64"/>
      <c r="DR175" s="64"/>
      <c r="DS175" s="64"/>
      <c r="DT175" s="64"/>
      <c r="DU175" s="64"/>
      <c r="DV175" s="64"/>
      <c r="DW175" s="64"/>
      <c r="DX175" s="64"/>
      <c r="DY175" s="64"/>
      <c r="DZ175" s="64"/>
      <c r="EA175" s="64"/>
      <c r="EB175" s="64"/>
      <c r="EC175" s="64"/>
      <c r="ED175" s="64"/>
      <c r="EE175" s="64"/>
      <c r="EF175" s="64"/>
      <c r="EG175" s="64"/>
      <c r="EH175" s="64"/>
      <c r="EI175" s="64"/>
      <c r="EJ175" s="64"/>
      <c r="EK175" s="64"/>
      <c r="EL175" s="64"/>
      <c r="EM175" s="64"/>
      <c r="EN175" s="64"/>
    </row>
  </sheetData>
  <mergeCells count="9">
    <mergeCell ref="A129:E129"/>
    <mergeCell ref="A146:B146"/>
    <mergeCell ref="A160:E160"/>
    <mergeCell ref="A2:B2"/>
    <mergeCell ref="A3:B3"/>
    <mergeCell ref="A49:E49"/>
    <mergeCell ref="A69:B69"/>
    <mergeCell ref="A96:E96"/>
    <mergeCell ref="A114:B114"/>
  </mergeCells>
  <conditionalFormatting sqref="G13:DO13">
    <cfRule type="cellIs" dxfId="310" priority="215" operator="equal">
      <formula>"dom"</formula>
    </cfRule>
    <cfRule type="cellIs" dxfId="309" priority="216" operator="equal">
      <formula>"Sáb"</formula>
    </cfRule>
  </conditionalFormatting>
  <conditionalFormatting sqref="N27:DO27">
    <cfRule type="cellIs" dxfId="308" priority="213" operator="equal">
      <formula>"dom"</formula>
    </cfRule>
    <cfRule type="cellIs" dxfId="307" priority="214" operator="equal">
      <formula>"Sáb"</formula>
    </cfRule>
  </conditionalFormatting>
  <conditionalFormatting sqref="G23:FM23">
    <cfRule type="cellIs" dxfId="306" priority="177" operator="equal">
      <formula>"C"</formula>
    </cfRule>
    <cfRule type="cellIs" dxfId="305" priority="196" operator="equal">
      <formula>"DS"</formula>
    </cfRule>
    <cfRule type="cellIs" dxfId="304" priority="205" operator="equal">
      <formula>"V"</formula>
    </cfRule>
    <cfRule type="cellIs" dxfId="303" priority="212" operator="equal">
      <formula>"X"</formula>
    </cfRule>
  </conditionalFormatting>
  <conditionalFormatting sqref="G23:FM23">
    <cfRule type="cellIs" dxfId="302" priority="206" operator="equal">
      <formula>""""""</formula>
    </cfRule>
    <cfRule type="cellIs" dxfId="301" priority="207" operator="equal">
      <formula>"H"</formula>
    </cfRule>
    <cfRule type="cellIs" dxfId="300" priority="208" operator="equal">
      <formula>"H"</formula>
    </cfRule>
    <cfRule type="cellIs" dxfId="299" priority="209" operator="equal">
      <formula>"I"</formula>
    </cfRule>
    <cfRule type="cellIs" dxfId="298" priority="210" operator="equal">
      <formula>"D"</formula>
    </cfRule>
    <cfRule type="cellIs" dxfId="297" priority="211" operator="equal">
      <formula>"EM"</formula>
    </cfRule>
  </conditionalFormatting>
  <conditionalFormatting sqref="E2 E4:E6">
    <cfRule type="cellIs" dxfId="296" priority="197" operator="equal">
      <formula>"V"</formula>
    </cfRule>
    <cfRule type="cellIs" dxfId="295" priority="204" operator="equal">
      <formula>"X"</formula>
    </cfRule>
  </conditionalFormatting>
  <conditionalFormatting sqref="E2 E4:E6">
    <cfRule type="cellIs" dxfId="294" priority="198" operator="equal">
      <formula>""""""</formula>
    </cfRule>
    <cfRule type="cellIs" dxfId="293" priority="199" operator="equal">
      <formula>"H"</formula>
    </cfRule>
    <cfRule type="cellIs" dxfId="292" priority="200" operator="equal">
      <formula>"H"</formula>
    </cfRule>
    <cfRule type="cellIs" dxfId="291" priority="201" operator="equal">
      <formula>"I"</formula>
    </cfRule>
    <cfRule type="cellIs" dxfId="290" priority="202" operator="equal">
      <formula>"D"</formula>
    </cfRule>
    <cfRule type="cellIs" dxfId="289" priority="203" operator="equal">
      <formula>"EM"</formula>
    </cfRule>
  </conditionalFormatting>
  <conditionalFormatting sqref="E7">
    <cfRule type="cellIs" dxfId="288" priority="187" operator="equal">
      <formula>"DS"</formula>
    </cfRule>
    <cfRule type="cellIs" dxfId="287" priority="188" operator="equal">
      <formula>"V"</formula>
    </cfRule>
    <cfRule type="cellIs" dxfId="286" priority="195" operator="equal">
      <formula>"X"</formula>
    </cfRule>
  </conditionalFormatting>
  <conditionalFormatting sqref="E7">
    <cfRule type="cellIs" dxfId="285" priority="189" operator="equal">
      <formula>""""""</formula>
    </cfRule>
    <cfRule type="cellIs" dxfId="284" priority="190" operator="equal">
      <formula>"H"</formula>
    </cfRule>
    <cfRule type="cellIs" dxfId="283" priority="191" operator="equal">
      <formula>"H"</formula>
    </cfRule>
    <cfRule type="cellIs" dxfId="282" priority="192" operator="equal">
      <formula>"I"</formula>
    </cfRule>
    <cfRule type="cellIs" dxfId="281" priority="193" operator="equal">
      <formula>"D"</formula>
    </cfRule>
    <cfRule type="cellIs" dxfId="280" priority="194" operator="equal">
      <formula>"EM"</formula>
    </cfRule>
  </conditionalFormatting>
  <conditionalFormatting sqref="E8">
    <cfRule type="cellIs" dxfId="279" priority="178" operator="equal">
      <formula>"DS"</formula>
    </cfRule>
    <cfRule type="cellIs" dxfId="278" priority="179" operator="equal">
      <formula>"V"</formula>
    </cfRule>
    <cfRule type="cellIs" dxfId="277" priority="186" operator="equal">
      <formula>"X"</formula>
    </cfRule>
  </conditionalFormatting>
  <conditionalFormatting sqref="E8">
    <cfRule type="cellIs" dxfId="276" priority="180" operator="equal">
      <formula>""""""</formula>
    </cfRule>
    <cfRule type="cellIs" dxfId="275" priority="181" operator="equal">
      <formula>"H"</formula>
    </cfRule>
    <cfRule type="cellIs" dxfId="274" priority="182" operator="equal">
      <formula>"H"</formula>
    </cfRule>
    <cfRule type="cellIs" dxfId="273" priority="183" operator="equal">
      <formula>"I"</formula>
    </cfRule>
    <cfRule type="cellIs" dxfId="272" priority="184" operator="equal">
      <formula>"D"</formula>
    </cfRule>
    <cfRule type="cellIs" dxfId="271" priority="185" operator="equal">
      <formula>"EM"</formula>
    </cfRule>
  </conditionalFormatting>
  <conditionalFormatting sqref="ID86:JM86">
    <cfRule type="cellIs" dxfId="270" priority="175" operator="equal">
      <formula>"dom"</formula>
    </cfRule>
    <cfRule type="cellIs" dxfId="269" priority="176" operator="equal">
      <formula>"Sáb"</formula>
    </cfRule>
  </conditionalFormatting>
  <conditionalFormatting sqref="G149:GR149">
    <cfRule type="cellIs" dxfId="268" priority="173" operator="equal">
      <formula>"dom"</formula>
    </cfRule>
    <cfRule type="cellIs" dxfId="267" priority="174" operator="equal">
      <formula>"Sáb"</formula>
    </cfRule>
  </conditionalFormatting>
  <conditionalFormatting sqref="G16:IE20">
    <cfRule type="cellIs" dxfId="266" priority="103" operator="equal">
      <formula>"C"</formula>
    </cfRule>
    <cfRule type="cellIs" dxfId="265" priority="104" operator="equal">
      <formula>"DS"</formula>
    </cfRule>
    <cfRule type="cellIs" dxfId="264" priority="105" operator="equal">
      <formula>"V"</formula>
    </cfRule>
    <cfRule type="cellIs" dxfId="263" priority="112" operator="equal">
      <formula>"X"</formula>
    </cfRule>
  </conditionalFormatting>
  <conditionalFormatting sqref="G16:IE20">
    <cfRule type="cellIs" dxfId="262" priority="106" operator="equal">
      <formula>""""""</formula>
    </cfRule>
    <cfRule type="cellIs" dxfId="261" priority="107" operator="equal">
      <formula>"H"</formula>
    </cfRule>
    <cfRule type="cellIs" dxfId="260" priority="108" operator="equal">
      <formula>"H"</formula>
    </cfRule>
    <cfRule type="cellIs" dxfId="259" priority="109" operator="equal">
      <formula>"I"</formula>
    </cfRule>
    <cfRule type="cellIs" dxfId="258" priority="110" operator="equal">
      <formula>"D"</formula>
    </cfRule>
    <cfRule type="cellIs" dxfId="257" priority="111" operator="equal">
      <formula>"EM"</formula>
    </cfRule>
  </conditionalFormatting>
  <conditionalFormatting sqref="G30:EW35">
    <cfRule type="cellIs" dxfId="256" priority="163" operator="equal">
      <formula>"C"</formula>
    </cfRule>
    <cfRule type="cellIs" dxfId="255" priority="164" operator="equal">
      <formula>"DS"</formula>
    </cfRule>
    <cfRule type="cellIs" dxfId="254" priority="165" operator="equal">
      <formula>"V"</formula>
    </cfRule>
    <cfRule type="cellIs" dxfId="253" priority="172" operator="equal">
      <formula>"X"</formula>
    </cfRule>
  </conditionalFormatting>
  <conditionalFormatting sqref="G30:EW35">
    <cfRule type="cellIs" dxfId="252" priority="166" operator="equal">
      <formula>""""""</formula>
    </cfRule>
    <cfRule type="cellIs" dxfId="251" priority="167" operator="equal">
      <formula>"H"</formula>
    </cfRule>
    <cfRule type="cellIs" dxfId="250" priority="168" operator="equal">
      <formula>"H"</formula>
    </cfRule>
    <cfRule type="cellIs" dxfId="249" priority="169" operator="equal">
      <formula>"I"</formula>
    </cfRule>
    <cfRule type="cellIs" dxfId="248" priority="170" operator="equal">
      <formula>"D"</formula>
    </cfRule>
    <cfRule type="cellIs" dxfId="247" priority="171" operator="equal">
      <formula>"EM"</formula>
    </cfRule>
  </conditionalFormatting>
  <conditionalFormatting sqref="G42:EK46">
    <cfRule type="cellIs" dxfId="246" priority="153" operator="equal">
      <formula>"C"</formula>
    </cfRule>
    <cfRule type="cellIs" dxfId="245" priority="154" operator="equal">
      <formula>"DS"</formula>
    </cfRule>
    <cfRule type="cellIs" dxfId="244" priority="155" operator="equal">
      <formula>"V"</formula>
    </cfRule>
    <cfRule type="cellIs" dxfId="243" priority="162" operator="equal">
      <formula>"X"</formula>
    </cfRule>
  </conditionalFormatting>
  <conditionalFormatting sqref="G42:EK46">
    <cfRule type="cellIs" dxfId="242" priority="156" operator="equal">
      <formula>""""""</formula>
    </cfRule>
    <cfRule type="cellIs" dxfId="241" priority="157" operator="equal">
      <formula>"H"</formula>
    </cfRule>
    <cfRule type="cellIs" dxfId="240" priority="158" operator="equal">
      <formula>"H"</formula>
    </cfRule>
    <cfRule type="cellIs" dxfId="239" priority="159" operator="equal">
      <formula>"I"</formula>
    </cfRule>
    <cfRule type="cellIs" dxfId="238" priority="160" operator="equal">
      <formula>"D"</formula>
    </cfRule>
    <cfRule type="cellIs" dxfId="237" priority="161" operator="equal">
      <formula>"EM"</formula>
    </cfRule>
  </conditionalFormatting>
  <conditionalFormatting sqref="G77:EU83">
    <cfRule type="cellIs" dxfId="236" priority="143" operator="equal">
      <formula>"C"</formula>
    </cfRule>
    <cfRule type="cellIs" dxfId="235" priority="144" operator="equal">
      <formula>"DS"</formula>
    </cfRule>
    <cfRule type="cellIs" dxfId="234" priority="145" operator="equal">
      <formula>"V"</formula>
    </cfRule>
    <cfRule type="cellIs" dxfId="233" priority="152" operator="equal">
      <formula>"X"</formula>
    </cfRule>
  </conditionalFormatting>
  <conditionalFormatting sqref="G77:EU83">
    <cfRule type="cellIs" dxfId="232" priority="146" operator="equal">
      <formula>""""""</formula>
    </cfRule>
    <cfRule type="cellIs" dxfId="231" priority="147" operator="equal">
      <formula>"H"</formula>
    </cfRule>
    <cfRule type="cellIs" dxfId="230" priority="148" operator="equal">
      <formula>"H"</formula>
    </cfRule>
    <cfRule type="cellIs" dxfId="229" priority="149" operator="equal">
      <formula>"I"</formula>
    </cfRule>
    <cfRule type="cellIs" dxfId="228" priority="150" operator="equal">
      <formula>"D"</formula>
    </cfRule>
    <cfRule type="cellIs" dxfId="227" priority="151" operator="equal">
      <formula>"EM"</formula>
    </cfRule>
  </conditionalFormatting>
  <conditionalFormatting sqref="G89:EE94">
    <cfRule type="cellIs" dxfId="226" priority="133" operator="equal">
      <formula>"C"</formula>
    </cfRule>
    <cfRule type="cellIs" dxfId="225" priority="134" operator="equal">
      <formula>"DS"</formula>
    </cfRule>
    <cfRule type="cellIs" dxfId="224" priority="135" operator="equal">
      <formula>"V"</formula>
    </cfRule>
    <cfRule type="cellIs" dxfId="223" priority="142" operator="equal">
      <formula>"X"</formula>
    </cfRule>
  </conditionalFormatting>
  <conditionalFormatting sqref="G89:EE94">
    <cfRule type="cellIs" dxfId="222" priority="136" operator="equal">
      <formula>""""""</formula>
    </cfRule>
    <cfRule type="cellIs" dxfId="221" priority="137" operator="equal">
      <formula>"H"</formula>
    </cfRule>
    <cfRule type="cellIs" dxfId="220" priority="138" operator="equal">
      <formula>"H"</formula>
    </cfRule>
    <cfRule type="cellIs" dxfId="219" priority="139" operator="equal">
      <formula>"I"</formula>
    </cfRule>
    <cfRule type="cellIs" dxfId="218" priority="140" operator="equal">
      <formula>"D"</formula>
    </cfRule>
    <cfRule type="cellIs" dxfId="217" priority="141" operator="equal">
      <formula>"EM"</formula>
    </cfRule>
  </conditionalFormatting>
  <conditionalFormatting sqref="G121:FE125">
    <cfRule type="cellIs" dxfId="216" priority="123" operator="equal">
      <formula>"C"</formula>
    </cfRule>
    <cfRule type="cellIs" dxfId="215" priority="124" operator="equal">
      <formula>"DS"</formula>
    </cfRule>
    <cfRule type="cellIs" dxfId="214" priority="125" operator="equal">
      <formula>"V"</formula>
    </cfRule>
    <cfRule type="cellIs" dxfId="213" priority="132" operator="equal">
      <formula>"X"</formula>
    </cfRule>
  </conditionalFormatting>
  <conditionalFormatting sqref="G121:FE125">
    <cfRule type="cellIs" dxfId="212" priority="126" operator="equal">
      <formula>""""""</formula>
    </cfRule>
    <cfRule type="cellIs" dxfId="211" priority="127" operator="equal">
      <formula>"H"</formula>
    </cfRule>
    <cfRule type="cellIs" dxfId="210" priority="128" operator="equal">
      <formula>"H"</formula>
    </cfRule>
    <cfRule type="cellIs" dxfId="209" priority="129" operator="equal">
      <formula>"I"</formula>
    </cfRule>
    <cfRule type="cellIs" dxfId="208" priority="130" operator="equal">
      <formula>"D"</formula>
    </cfRule>
    <cfRule type="cellIs" dxfId="207" priority="131" operator="equal">
      <formula>"EM"</formula>
    </cfRule>
  </conditionalFormatting>
  <conditionalFormatting sqref="G152:GI156">
    <cfRule type="cellIs" dxfId="206" priority="113" operator="equal">
      <formula>"C"</formula>
    </cfRule>
    <cfRule type="cellIs" dxfId="205" priority="114" operator="equal">
      <formula>"DS"</formula>
    </cfRule>
    <cfRule type="cellIs" dxfId="204" priority="115" operator="equal">
      <formula>"V"</formula>
    </cfRule>
    <cfRule type="cellIs" dxfId="203" priority="122" operator="equal">
      <formula>"X"</formula>
    </cfRule>
  </conditionalFormatting>
  <conditionalFormatting sqref="G152:GI156">
    <cfRule type="cellIs" dxfId="202" priority="116" operator="equal">
      <formula>""""""</formula>
    </cfRule>
    <cfRule type="cellIs" dxfId="201" priority="117" operator="equal">
      <formula>"H"</formula>
    </cfRule>
    <cfRule type="cellIs" dxfId="200" priority="118" operator="equal">
      <formula>"H"</formula>
    </cfRule>
    <cfRule type="cellIs" dxfId="199" priority="119" operator="equal">
      <formula>"I"</formula>
    </cfRule>
    <cfRule type="cellIs" dxfId="198" priority="120" operator="equal">
      <formula>"D"</formula>
    </cfRule>
    <cfRule type="cellIs" dxfId="197" priority="121" operator="equal">
      <formula>"EM"</formula>
    </cfRule>
  </conditionalFormatting>
  <conditionalFormatting sqref="G49:FM49">
    <cfRule type="cellIs" dxfId="196" priority="93" operator="equal">
      <formula>"C"</formula>
    </cfRule>
    <cfRule type="cellIs" dxfId="195" priority="94" operator="equal">
      <formula>"DS"</formula>
    </cfRule>
    <cfRule type="cellIs" dxfId="194" priority="95" operator="equal">
      <formula>"V"</formula>
    </cfRule>
    <cfRule type="cellIs" dxfId="193" priority="102" operator="equal">
      <formula>"X"</formula>
    </cfRule>
  </conditionalFormatting>
  <conditionalFormatting sqref="G49:FM49">
    <cfRule type="cellIs" dxfId="192" priority="96" operator="equal">
      <formula>""""""</formula>
    </cfRule>
    <cfRule type="cellIs" dxfId="191" priority="97" operator="equal">
      <formula>"H"</formula>
    </cfRule>
    <cfRule type="cellIs" dxfId="190" priority="98" operator="equal">
      <formula>"H"</formula>
    </cfRule>
    <cfRule type="cellIs" dxfId="189" priority="99" operator="equal">
      <formula>"I"</formula>
    </cfRule>
    <cfRule type="cellIs" dxfId="188" priority="100" operator="equal">
      <formula>"D"</formula>
    </cfRule>
    <cfRule type="cellIs" dxfId="187" priority="101" operator="equal">
      <formula>"EM"</formula>
    </cfRule>
  </conditionalFormatting>
  <conditionalFormatting sqref="G56:EN59 G61:EN64 G60:L60">
    <cfRule type="cellIs" dxfId="186" priority="83" operator="equal">
      <formula>"C"</formula>
    </cfRule>
    <cfRule type="cellIs" dxfId="185" priority="84" operator="equal">
      <formula>"DS"</formula>
    </cfRule>
    <cfRule type="cellIs" dxfId="184" priority="85" operator="equal">
      <formula>"V"</formula>
    </cfRule>
    <cfRule type="cellIs" dxfId="183" priority="92" operator="equal">
      <formula>"X"</formula>
    </cfRule>
  </conditionalFormatting>
  <conditionalFormatting sqref="G56:EN59 G61:EN64 G60:L60">
    <cfRule type="cellIs" dxfId="182" priority="86" operator="equal">
      <formula>""""""</formula>
    </cfRule>
    <cfRule type="cellIs" dxfId="181" priority="87" operator="equal">
      <formula>"H"</formula>
    </cfRule>
    <cfRule type="cellIs" dxfId="180" priority="88" operator="equal">
      <formula>"H"</formula>
    </cfRule>
    <cfRule type="cellIs" dxfId="179" priority="89" operator="equal">
      <formula>"I"</formula>
    </cfRule>
    <cfRule type="cellIs" dxfId="178" priority="90" operator="equal">
      <formula>"D"</formula>
    </cfRule>
    <cfRule type="cellIs" dxfId="177" priority="91" operator="equal">
      <formula>"EM"</formula>
    </cfRule>
  </conditionalFormatting>
  <conditionalFormatting sqref="G96:FM96">
    <cfRule type="cellIs" dxfId="176" priority="73" operator="equal">
      <formula>"C"</formula>
    </cfRule>
    <cfRule type="cellIs" dxfId="175" priority="74" operator="equal">
      <formula>"DS"</formula>
    </cfRule>
    <cfRule type="cellIs" dxfId="174" priority="75" operator="equal">
      <formula>"V"</formula>
    </cfRule>
    <cfRule type="cellIs" dxfId="173" priority="82" operator="equal">
      <formula>"X"</formula>
    </cfRule>
  </conditionalFormatting>
  <conditionalFormatting sqref="G96:FM96">
    <cfRule type="cellIs" dxfId="172" priority="76" operator="equal">
      <formula>""""""</formula>
    </cfRule>
    <cfRule type="cellIs" dxfId="171" priority="77" operator="equal">
      <formula>"H"</formula>
    </cfRule>
    <cfRule type="cellIs" dxfId="170" priority="78" operator="equal">
      <formula>"H"</formula>
    </cfRule>
    <cfRule type="cellIs" dxfId="169" priority="79" operator="equal">
      <formula>"I"</formula>
    </cfRule>
    <cfRule type="cellIs" dxfId="168" priority="80" operator="equal">
      <formula>"D"</formula>
    </cfRule>
    <cfRule type="cellIs" dxfId="167" priority="81" operator="equal">
      <formula>"EM"</formula>
    </cfRule>
  </conditionalFormatting>
  <conditionalFormatting sqref="G103:EN111">
    <cfRule type="cellIs" dxfId="166" priority="63" operator="equal">
      <formula>"C"</formula>
    </cfRule>
    <cfRule type="cellIs" dxfId="165" priority="64" operator="equal">
      <formula>"DS"</formula>
    </cfRule>
    <cfRule type="cellIs" dxfId="164" priority="65" operator="equal">
      <formula>"V"</formula>
    </cfRule>
    <cfRule type="cellIs" dxfId="163" priority="72" operator="equal">
      <formula>"X"</formula>
    </cfRule>
  </conditionalFormatting>
  <conditionalFormatting sqref="G103:EN111">
    <cfRule type="cellIs" dxfId="162" priority="66" operator="equal">
      <formula>""""""</formula>
    </cfRule>
    <cfRule type="cellIs" dxfId="161" priority="67" operator="equal">
      <formula>"H"</formula>
    </cfRule>
    <cfRule type="cellIs" dxfId="160" priority="68" operator="equal">
      <formula>"H"</formula>
    </cfRule>
    <cfRule type="cellIs" dxfId="159" priority="69" operator="equal">
      <formula>"I"</formula>
    </cfRule>
    <cfRule type="cellIs" dxfId="158" priority="70" operator="equal">
      <formula>"D"</formula>
    </cfRule>
    <cfRule type="cellIs" dxfId="157" priority="71" operator="equal">
      <formula>"EM"</formula>
    </cfRule>
  </conditionalFormatting>
  <conditionalFormatting sqref="G129:FM129">
    <cfRule type="cellIs" dxfId="156" priority="53" operator="equal">
      <formula>"C"</formula>
    </cfRule>
    <cfRule type="cellIs" dxfId="155" priority="54" operator="equal">
      <formula>"DS"</formula>
    </cfRule>
    <cfRule type="cellIs" dxfId="154" priority="55" operator="equal">
      <formula>"V"</formula>
    </cfRule>
    <cfRule type="cellIs" dxfId="153" priority="62" operator="equal">
      <formula>"X"</formula>
    </cfRule>
  </conditionalFormatting>
  <conditionalFormatting sqref="G129:FM129">
    <cfRule type="cellIs" dxfId="152" priority="56" operator="equal">
      <formula>""""""</formula>
    </cfRule>
    <cfRule type="cellIs" dxfId="151" priority="57" operator="equal">
      <formula>"H"</formula>
    </cfRule>
    <cfRule type="cellIs" dxfId="150" priority="58" operator="equal">
      <formula>"H"</formula>
    </cfRule>
    <cfRule type="cellIs" dxfId="149" priority="59" operator="equal">
      <formula>"I"</formula>
    </cfRule>
    <cfRule type="cellIs" dxfId="148" priority="60" operator="equal">
      <formula>"D"</formula>
    </cfRule>
    <cfRule type="cellIs" dxfId="147" priority="61" operator="equal">
      <formula>"EM"</formula>
    </cfRule>
  </conditionalFormatting>
  <conditionalFormatting sqref="G136:EN144">
    <cfRule type="cellIs" dxfId="146" priority="43" operator="equal">
      <formula>"C"</formula>
    </cfRule>
    <cfRule type="cellIs" dxfId="145" priority="44" operator="equal">
      <formula>"DS"</formula>
    </cfRule>
    <cfRule type="cellIs" dxfId="144" priority="45" operator="equal">
      <formula>"V"</formula>
    </cfRule>
    <cfRule type="cellIs" dxfId="143" priority="52" operator="equal">
      <formula>"X"</formula>
    </cfRule>
  </conditionalFormatting>
  <conditionalFormatting sqref="G136:EN144">
    <cfRule type="cellIs" dxfId="142" priority="46" operator="equal">
      <formula>""""""</formula>
    </cfRule>
    <cfRule type="cellIs" dxfId="141" priority="47" operator="equal">
      <formula>"H"</formula>
    </cfRule>
    <cfRule type="cellIs" dxfId="140" priority="48" operator="equal">
      <formula>"H"</formula>
    </cfRule>
    <cfRule type="cellIs" dxfId="139" priority="49" operator="equal">
      <formula>"I"</formula>
    </cfRule>
    <cfRule type="cellIs" dxfId="138" priority="50" operator="equal">
      <formula>"D"</formula>
    </cfRule>
    <cfRule type="cellIs" dxfId="137" priority="51" operator="equal">
      <formula>"EM"</formula>
    </cfRule>
  </conditionalFormatting>
  <conditionalFormatting sqref="G160:FM160">
    <cfRule type="cellIs" dxfId="136" priority="33" operator="equal">
      <formula>"C"</formula>
    </cfRule>
    <cfRule type="cellIs" dxfId="135" priority="34" operator="equal">
      <formula>"DS"</formula>
    </cfRule>
    <cfRule type="cellIs" dxfId="134" priority="35" operator="equal">
      <formula>"V"</formula>
    </cfRule>
    <cfRule type="cellIs" dxfId="133" priority="42" operator="equal">
      <formula>"X"</formula>
    </cfRule>
  </conditionalFormatting>
  <conditionalFormatting sqref="G160:FM160">
    <cfRule type="cellIs" dxfId="132" priority="36" operator="equal">
      <formula>""""""</formula>
    </cfRule>
    <cfRule type="cellIs" dxfId="131" priority="37" operator="equal">
      <formula>"H"</formula>
    </cfRule>
    <cfRule type="cellIs" dxfId="130" priority="38" operator="equal">
      <formula>"H"</formula>
    </cfRule>
    <cfRule type="cellIs" dxfId="129" priority="39" operator="equal">
      <formula>"I"</formula>
    </cfRule>
    <cfRule type="cellIs" dxfId="128" priority="40" operator="equal">
      <formula>"D"</formula>
    </cfRule>
    <cfRule type="cellIs" dxfId="127" priority="41" operator="equal">
      <formula>"EM"</formula>
    </cfRule>
  </conditionalFormatting>
  <conditionalFormatting sqref="G167:EN175">
    <cfRule type="cellIs" dxfId="126" priority="23" operator="equal">
      <formula>"C"</formula>
    </cfRule>
    <cfRule type="cellIs" dxfId="125" priority="24" operator="equal">
      <formula>"DS"</formula>
    </cfRule>
    <cfRule type="cellIs" dxfId="124" priority="25" operator="equal">
      <formula>"V"</formula>
    </cfRule>
    <cfRule type="cellIs" dxfId="123" priority="32" operator="equal">
      <formula>"X"</formula>
    </cfRule>
  </conditionalFormatting>
  <conditionalFormatting sqref="G167:EN175">
    <cfRule type="cellIs" dxfId="122" priority="26" operator="equal">
      <formula>""""""</formula>
    </cfRule>
    <cfRule type="cellIs" dxfId="121" priority="27" operator="equal">
      <formula>"H"</formula>
    </cfRule>
    <cfRule type="cellIs" dxfId="120" priority="28" operator="equal">
      <formula>"H"</formula>
    </cfRule>
    <cfRule type="cellIs" dxfId="119" priority="29" operator="equal">
      <formula>"I"</formula>
    </cfRule>
    <cfRule type="cellIs" dxfId="118" priority="30" operator="equal">
      <formula>"D"</formula>
    </cfRule>
    <cfRule type="cellIs" dxfId="117" priority="31" operator="equal">
      <formula>"EM"</formula>
    </cfRule>
  </conditionalFormatting>
  <conditionalFormatting sqref="G118:HY118">
    <cfRule type="cellIs" dxfId="116" priority="21" operator="equal">
      <formula>"dom"</formula>
    </cfRule>
    <cfRule type="cellIs" dxfId="115" priority="22" operator="equal">
      <formula>"Sáb"</formula>
    </cfRule>
  </conditionalFormatting>
  <conditionalFormatting sqref="G86:IC86">
    <cfRule type="cellIs" dxfId="114" priority="19" operator="equal">
      <formula>"dom"</formula>
    </cfRule>
    <cfRule type="cellIs" dxfId="113" priority="20" operator="equal">
      <formula>"Sáb"</formula>
    </cfRule>
  </conditionalFormatting>
  <conditionalFormatting sqref="G74:JW74">
    <cfRule type="cellIs" dxfId="112" priority="17" operator="equal">
      <formula>"dom"</formula>
    </cfRule>
    <cfRule type="cellIs" dxfId="111" priority="18" operator="equal">
      <formula>"Sáb"</formula>
    </cfRule>
  </conditionalFormatting>
  <conditionalFormatting sqref="G39:FU39">
    <cfRule type="cellIs" dxfId="110" priority="15" operator="equal">
      <formula>"dom"</formula>
    </cfRule>
    <cfRule type="cellIs" dxfId="109" priority="16" operator="equal">
      <formula>"Sáb"</formula>
    </cfRule>
  </conditionalFormatting>
  <conditionalFormatting sqref="M27">
    <cfRule type="cellIs" dxfId="108" priority="13" operator="equal">
      <formula>"dom"</formula>
    </cfRule>
    <cfRule type="cellIs" dxfId="107" priority="14" operator="equal">
      <formula>"Sáb"</formula>
    </cfRule>
  </conditionalFormatting>
  <conditionalFormatting sqref="G27:L27">
    <cfRule type="cellIs" dxfId="106" priority="11" operator="equal">
      <formula>"dom"</formula>
    </cfRule>
    <cfRule type="cellIs" dxfId="105" priority="12" operator="equal">
      <formula>"Sáb"</formula>
    </cfRule>
  </conditionalFormatting>
  <conditionalFormatting sqref="E3">
    <cfRule type="cellIs" dxfId="104" priority="1" operator="equal">
      <formula>"C"</formula>
    </cfRule>
    <cfRule type="cellIs" dxfId="103" priority="2" operator="equal">
      <formula>"DS"</formula>
    </cfRule>
    <cfRule type="cellIs" dxfId="102" priority="3" operator="equal">
      <formula>"V"</formula>
    </cfRule>
    <cfRule type="cellIs" dxfId="101" priority="10" operator="equal">
      <formula>"X"</formula>
    </cfRule>
  </conditionalFormatting>
  <conditionalFormatting sqref="E3">
    <cfRule type="cellIs" dxfId="100" priority="4" operator="equal">
      <formula>""""""</formula>
    </cfRule>
    <cfRule type="cellIs" dxfId="99" priority="5" operator="equal">
      <formula>"H"</formula>
    </cfRule>
    <cfRule type="cellIs" dxfId="98" priority="6" operator="equal">
      <formula>"H"</formula>
    </cfRule>
    <cfRule type="cellIs" dxfId="97" priority="7" operator="equal">
      <formula>"I"</formula>
    </cfRule>
    <cfRule type="cellIs" dxfId="96" priority="8" operator="equal">
      <formula>"D"</formula>
    </cfRule>
    <cfRule type="cellIs" dxfId="95" priority="9" operator="equal">
      <formula>"EM"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1"/>
  </sheetPr>
  <dimension ref="A1:AZ4698"/>
  <sheetViews>
    <sheetView showGridLines="0" topLeftCell="P1" zoomScale="78" zoomScaleNormal="78" workbookViewId="0">
      <selection activeCell="AU22" sqref="AU22"/>
    </sheetView>
  </sheetViews>
  <sheetFormatPr defaultColWidth="11.42578125" defaultRowHeight="15"/>
  <cols>
    <col min="1" max="1" width="6.42578125" style="2" customWidth="1"/>
    <col min="2" max="2" width="11.42578125" style="2"/>
    <col min="3" max="3" width="13.7109375" customWidth="1"/>
    <col min="4" max="4" width="13" customWidth="1"/>
    <col min="5" max="5" width="13.28515625" customWidth="1"/>
    <col min="7" max="7" width="11.42578125" customWidth="1"/>
    <col min="8" max="8" width="15.5703125" customWidth="1"/>
    <col min="9" max="9" width="15.28515625" customWidth="1"/>
    <col min="10" max="10" width="14.85546875" customWidth="1"/>
    <col min="11" max="11" width="13.7109375" customWidth="1"/>
    <col min="12" max="12" width="15.7109375" customWidth="1"/>
    <col min="13" max="14" width="3.5703125" customWidth="1"/>
    <col min="15" max="15" width="6.42578125" style="2" customWidth="1"/>
    <col min="20" max="20" width="12.28515625" customWidth="1"/>
    <col min="27" max="27" width="4.140625" customWidth="1"/>
    <col min="28" max="28" width="6.42578125" style="2" customWidth="1"/>
    <col min="29" max="29" width="14.28515625" customWidth="1"/>
    <col min="31" max="31" width="14.5703125" customWidth="1"/>
    <col min="32" max="32" width="13.28515625" customWidth="1"/>
    <col min="33" max="33" width="15.7109375" customWidth="1"/>
    <col min="41" max="41" width="6.28515625" style="2" customWidth="1"/>
    <col min="43" max="43" width="14" customWidth="1"/>
    <col min="44" max="44" width="17.7109375" customWidth="1"/>
    <col min="46" max="46" width="13.28515625" customWidth="1"/>
    <col min="47" max="47" width="13.7109375" customWidth="1"/>
    <col min="48" max="49" width="14.85546875" customWidth="1"/>
    <col min="50" max="50" width="18.42578125" customWidth="1"/>
  </cols>
  <sheetData>
    <row r="1" spans="1:52">
      <c r="P1" s="2">
        <f>+IF([1]Inicio!B13&gt;1,[1]Inicio!B13,2)</f>
        <v>2</v>
      </c>
      <c r="R1" s="77"/>
      <c r="S1" t="s">
        <v>43</v>
      </c>
      <c r="AE1" s="77"/>
      <c r="AF1" t="s">
        <v>43</v>
      </c>
      <c r="AR1" s="2">
        <f>+IF([1]Inicio!B15&gt;1,[1]Inicio!B15,2)</f>
        <v>2</v>
      </c>
      <c r="AS1" s="77"/>
      <c r="AT1" t="s">
        <v>43</v>
      </c>
    </row>
    <row r="2" spans="1:52">
      <c r="A2" s="86" t="s">
        <v>44</v>
      </c>
      <c r="B2" s="86"/>
      <c r="C2" s="86"/>
      <c r="D2" s="86"/>
      <c r="E2" s="86"/>
      <c r="F2" s="86"/>
      <c r="G2" s="86"/>
      <c r="H2" s="29"/>
      <c r="I2" s="29"/>
      <c r="J2" s="29"/>
      <c r="K2" s="29"/>
      <c r="L2" s="29"/>
    </row>
    <row r="3" spans="1:52" ht="15.75">
      <c r="A3" s="278" t="s">
        <v>45</v>
      </c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8"/>
      <c r="O3" s="278" t="s">
        <v>46</v>
      </c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B3" s="278" t="s">
        <v>47</v>
      </c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4"/>
      <c r="AO3" s="278" t="s">
        <v>48</v>
      </c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</row>
    <row r="4" spans="1:52" ht="16.5" thickBo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</row>
    <row r="5" spans="1:52" ht="16.5" thickBot="1">
      <c r="A5" s="4"/>
      <c r="B5" s="4"/>
      <c r="C5" s="93" t="s">
        <v>49</v>
      </c>
      <c r="D5" s="94"/>
      <c r="E5" s="95" t="str">
        <f>'[1]Inicio MOD'!C21</f>
        <v xml:space="preserve">Doble turno </v>
      </c>
      <c r="F5" s="4"/>
      <c r="G5" s="93" t="s">
        <v>50</v>
      </c>
      <c r="H5" s="94"/>
      <c r="I5" s="95" t="e">
        <f>'[1]Inicio MOD'!#REF!</f>
        <v>#REF!</v>
      </c>
      <c r="J5" s="4"/>
      <c r="K5" s="4"/>
      <c r="L5" s="4"/>
      <c r="O5" s="4"/>
      <c r="P5" s="4"/>
      <c r="Q5" s="93" t="s">
        <v>49</v>
      </c>
      <c r="R5" s="94"/>
      <c r="S5" s="95">
        <f>'[1]Inicio MOD'!AL20</f>
        <v>0</v>
      </c>
      <c r="T5" s="4"/>
      <c r="U5" s="93" t="s">
        <v>50</v>
      </c>
      <c r="V5" s="94"/>
      <c r="W5" s="95">
        <f>'[1]Inicio MOD'!AL21</f>
        <v>0</v>
      </c>
      <c r="X5" s="4"/>
      <c r="Y5" s="4"/>
      <c r="Z5" s="4"/>
      <c r="AB5" s="4"/>
      <c r="AC5" s="4"/>
      <c r="AD5" s="93" t="s">
        <v>49</v>
      </c>
      <c r="AE5" s="94"/>
      <c r="AF5" s="95" t="str">
        <f>'[1]Inicio MOD'!AY20</f>
        <v>Turno</v>
      </c>
      <c r="AG5" s="4"/>
      <c r="AH5" s="93" t="s">
        <v>50</v>
      </c>
      <c r="AI5" s="94"/>
      <c r="AJ5" s="95">
        <f>'[1]Inicio MOD'!AY21</f>
        <v>0</v>
      </c>
      <c r="AK5" s="4"/>
      <c r="AL5" s="4"/>
      <c r="AM5" s="4"/>
      <c r="AN5" s="4"/>
      <c r="AO5" s="4"/>
      <c r="AP5" s="4"/>
      <c r="AQ5" s="93" t="s">
        <v>49</v>
      </c>
      <c r="AR5" s="94"/>
      <c r="AS5" s="95">
        <f>'[1]Inicio MOD'!BL20</f>
        <v>0</v>
      </c>
      <c r="AT5" s="4"/>
      <c r="AU5" s="93" t="s">
        <v>50</v>
      </c>
      <c r="AV5" s="94"/>
      <c r="AW5" s="95">
        <f>'[1]Inicio MOD'!BL21</f>
        <v>0</v>
      </c>
      <c r="AX5" s="4"/>
      <c r="AY5" s="4"/>
      <c r="AZ5" s="4"/>
    </row>
    <row r="6" spans="1:52" ht="15.75" customHeight="1">
      <c r="C6" s="4"/>
      <c r="D6" s="4"/>
      <c r="E6" s="4"/>
      <c r="F6" s="4"/>
      <c r="G6" s="4"/>
      <c r="H6" s="4"/>
      <c r="I6" s="4"/>
      <c r="J6" s="4"/>
      <c r="K6" s="4"/>
      <c r="L6" s="4"/>
      <c r="P6" s="2"/>
      <c r="Q6" s="4"/>
      <c r="R6" s="4"/>
      <c r="S6" s="4"/>
      <c r="T6" s="4"/>
      <c r="U6" s="4"/>
      <c r="V6" s="4"/>
      <c r="W6" s="4"/>
      <c r="X6" s="4"/>
      <c r="Y6" s="4"/>
      <c r="Z6" s="4"/>
      <c r="AC6" s="2"/>
      <c r="AD6" s="4"/>
      <c r="AE6" s="4"/>
      <c r="AF6" s="4"/>
      <c r="AG6" s="4"/>
      <c r="AH6" s="4"/>
      <c r="AI6" s="4"/>
      <c r="AJ6" s="4"/>
      <c r="AK6" s="4"/>
      <c r="AL6" s="4"/>
      <c r="AM6" s="4"/>
      <c r="AP6" s="2"/>
      <c r="AQ6" s="4"/>
      <c r="AR6" s="4"/>
      <c r="AS6" s="4"/>
      <c r="AT6" s="4"/>
      <c r="AU6" s="4"/>
      <c r="AV6" s="4"/>
      <c r="AW6" s="4"/>
      <c r="AX6" s="4"/>
      <c r="AY6" s="4"/>
      <c r="AZ6" s="4"/>
    </row>
    <row r="7" spans="1:52" ht="72" customHeight="1">
      <c r="A7" s="279" t="s">
        <v>51</v>
      </c>
      <c r="B7" s="281" t="s">
        <v>52</v>
      </c>
      <c r="C7" s="281" t="s">
        <v>53</v>
      </c>
      <c r="D7" s="283" t="s">
        <v>54</v>
      </c>
      <c r="E7" s="284"/>
      <c r="F7" s="284"/>
      <c r="G7" s="285"/>
      <c r="H7" s="286" t="s">
        <v>55</v>
      </c>
      <c r="I7" s="287"/>
      <c r="J7" s="287"/>
      <c r="K7" s="288"/>
      <c r="L7" s="26" t="s">
        <v>56</v>
      </c>
      <c r="O7" s="279" t="s">
        <v>51</v>
      </c>
      <c r="P7" s="281" t="s">
        <v>52</v>
      </c>
      <c r="Q7" s="281" t="s">
        <v>53</v>
      </c>
      <c r="R7" s="283" t="s">
        <v>54</v>
      </c>
      <c r="S7" s="284"/>
      <c r="T7" s="284"/>
      <c r="U7" s="285"/>
      <c r="V7" s="286" t="s">
        <v>55</v>
      </c>
      <c r="W7" s="287"/>
      <c r="X7" s="287"/>
      <c r="Y7" s="288"/>
      <c r="Z7" s="26" t="s">
        <v>56</v>
      </c>
      <c r="AB7" s="279" t="s">
        <v>51</v>
      </c>
      <c r="AC7" s="281" t="s">
        <v>52</v>
      </c>
      <c r="AD7" s="281" t="s">
        <v>53</v>
      </c>
      <c r="AE7" s="283" t="s">
        <v>54</v>
      </c>
      <c r="AF7" s="284"/>
      <c r="AG7" s="284"/>
      <c r="AH7" s="285"/>
      <c r="AI7" s="286" t="s">
        <v>55</v>
      </c>
      <c r="AJ7" s="287"/>
      <c r="AK7" s="287"/>
      <c r="AL7" s="288"/>
      <c r="AM7" s="26" t="s">
        <v>56</v>
      </c>
      <c r="AO7" s="279" t="s">
        <v>51</v>
      </c>
      <c r="AP7" s="281" t="s">
        <v>52</v>
      </c>
      <c r="AQ7" s="281" t="s">
        <v>53</v>
      </c>
      <c r="AR7" s="283" t="s">
        <v>54</v>
      </c>
      <c r="AS7" s="284"/>
      <c r="AT7" s="284"/>
      <c r="AU7" s="285"/>
      <c r="AV7" s="286" t="s">
        <v>55</v>
      </c>
      <c r="AW7" s="287"/>
      <c r="AX7" s="287"/>
      <c r="AY7" s="288"/>
      <c r="AZ7" s="26" t="s">
        <v>56</v>
      </c>
    </row>
    <row r="8" spans="1:52" ht="50.25" customHeight="1">
      <c r="A8" s="280"/>
      <c r="B8" s="282"/>
      <c r="C8" s="282"/>
      <c r="D8" s="127" t="s">
        <v>57</v>
      </c>
      <c r="E8" s="127" t="s">
        <v>58</v>
      </c>
      <c r="F8" s="127" t="s">
        <v>59</v>
      </c>
      <c r="G8" s="127" t="s">
        <v>60</v>
      </c>
      <c r="H8" s="128" t="s">
        <v>61</v>
      </c>
      <c r="I8" s="128" t="s">
        <v>62</v>
      </c>
      <c r="J8" s="128" t="s">
        <v>63</v>
      </c>
      <c r="K8" s="128" t="s">
        <v>64</v>
      </c>
      <c r="L8" s="96" t="e">
        <f>+CONCATENATE(I5," ","máquinas")</f>
        <v>#REF!</v>
      </c>
      <c r="O8" s="280"/>
      <c r="P8" s="282"/>
      <c r="Q8" s="282"/>
      <c r="R8" s="127" t="s">
        <v>57</v>
      </c>
      <c r="S8" s="127" t="s">
        <v>58</v>
      </c>
      <c r="T8" s="127" t="s">
        <v>59</v>
      </c>
      <c r="U8" s="127" t="s">
        <v>60</v>
      </c>
      <c r="V8" s="128" t="s">
        <v>61</v>
      </c>
      <c r="W8" s="128" t="s">
        <v>62</v>
      </c>
      <c r="X8" s="128" t="s">
        <v>63</v>
      </c>
      <c r="Y8" s="128" t="s">
        <v>64</v>
      </c>
      <c r="Z8" s="96" t="str">
        <f>+CONCATENATE(W5," ","máquinas")</f>
        <v>0 máquinas</v>
      </c>
      <c r="AB8" s="280"/>
      <c r="AC8" s="282"/>
      <c r="AD8" s="282"/>
      <c r="AE8" s="127" t="s">
        <v>57</v>
      </c>
      <c r="AF8" s="127" t="s">
        <v>58</v>
      </c>
      <c r="AG8" s="127" t="s">
        <v>59</v>
      </c>
      <c r="AH8" s="127" t="s">
        <v>60</v>
      </c>
      <c r="AI8" s="128" t="s">
        <v>61</v>
      </c>
      <c r="AJ8" s="128" t="s">
        <v>62</v>
      </c>
      <c r="AK8" s="128" t="s">
        <v>63</v>
      </c>
      <c r="AL8" s="128" t="s">
        <v>64</v>
      </c>
      <c r="AM8" s="96" t="str">
        <f>+CONCATENATE(AJ5," ","máquinas")</f>
        <v>0 máquinas</v>
      </c>
      <c r="AO8" s="280"/>
      <c r="AP8" s="282"/>
      <c r="AQ8" s="282"/>
      <c r="AR8" s="127" t="s">
        <v>57</v>
      </c>
      <c r="AS8" s="127" t="s">
        <v>58</v>
      </c>
      <c r="AT8" s="127" t="s">
        <v>59</v>
      </c>
      <c r="AU8" s="127" t="s">
        <v>60</v>
      </c>
      <c r="AV8" s="128" t="s">
        <v>61</v>
      </c>
      <c r="AW8" s="128" t="s">
        <v>62</v>
      </c>
      <c r="AX8" s="128" t="s">
        <v>63</v>
      </c>
      <c r="AY8" s="128" t="s">
        <v>64</v>
      </c>
      <c r="AZ8" s="96" t="str">
        <f>+CONCATENATE(AW5," ","máquinas")</f>
        <v>0 máquinas</v>
      </c>
    </row>
    <row r="9" spans="1:52" ht="27.75" customHeight="1">
      <c r="A9" s="30">
        <v>1</v>
      </c>
      <c r="B9" s="30"/>
      <c r="C9" s="81">
        <v>30</v>
      </c>
      <c r="D9" s="81">
        <v>5</v>
      </c>
      <c r="E9" s="81">
        <v>2</v>
      </c>
      <c r="F9" s="81">
        <v>12</v>
      </c>
      <c r="G9" s="81">
        <f>+C9-D9-E9-F9</f>
        <v>11</v>
      </c>
      <c r="H9" s="30">
        <f>+[1]Inicio!$B$27</f>
        <v>10</v>
      </c>
      <c r="I9" s="30">
        <f>+[1]Inicio!$B$28</f>
        <v>10</v>
      </c>
      <c r="J9" s="30">
        <f>+[1]Inicio!$B$26</f>
        <v>10</v>
      </c>
      <c r="K9" s="30">
        <f>+[1]Inicio!$B$29</f>
        <v>10</v>
      </c>
      <c r="L9" s="30" t="str">
        <f>+IFERROR(ROUNDUP((D9/H9)+(E9/I9)+(F9/J9)+(G9/K9)+#REF!+#REF!+#REF!+#REF!,0),"")</f>
        <v/>
      </c>
      <c r="O9" s="30">
        <v>1</v>
      </c>
      <c r="P9" s="30"/>
      <c r="Q9" s="81">
        <v>30</v>
      </c>
      <c r="R9" s="81">
        <v>5</v>
      </c>
      <c r="S9" s="81">
        <v>2</v>
      </c>
      <c r="T9" s="81">
        <v>12</v>
      </c>
      <c r="U9" s="81">
        <f>+Q9-R9-S9-T9</f>
        <v>11</v>
      </c>
      <c r="V9" s="30">
        <f>+[1]Inicio!$B$27</f>
        <v>10</v>
      </c>
      <c r="W9" s="30">
        <f>+[1]Inicio!$B$28</f>
        <v>10</v>
      </c>
      <c r="X9" s="30">
        <f>+[1]Inicio!$B$26</f>
        <v>10</v>
      </c>
      <c r="Y9" s="30">
        <f>+[1]Inicio!$B$29</f>
        <v>10</v>
      </c>
      <c r="Z9" s="30" t="str">
        <f>+IFERROR(ROUNDUP((R9/V9)+(S9/W9)+(T9/X9)+(U9/Y9)+#REF!+#REF!+#REF!+#REF!,0),"")</f>
        <v/>
      </c>
      <c r="AB9" s="30">
        <v>1</v>
      </c>
      <c r="AC9" s="30"/>
      <c r="AD9" s="81">
        <v>30</v>
      </c>
      <c r="AE9" s="81">
        <v>5</v>
      </c>
      <c r="AF9" s="81">
        <v>2</v>
      </c>
      <c r="AG9" s="81">
        <v>12</v>
      </c>
      <c r="AH9" s="81">
        <f>+AD9-AE9-AF9-AG9</f>
        <v>11</v>
      </c>
      <c r="AI9" s="30">
        <f>+[1]Inicio!$B$27</f>
        <v>10</v>
      </c>
      <c r="AJ9" s="30">
        <f>+[1]Inicio!$B$28</f>
        <v>10</v>
      </c>
      <c r="AK9" s="30">
        <f>+[1]Inicio!$B$26</f>
        <v>10</v>
      </c>
      <c r="AL9" s="30">
        <f>+[1]Inicio!$B$29</f>
        <v>10</v>
      </c>
      <c r="AM9" s="30" t="str">
        <f>+IFERROR(ROUNDUP((AE9/AI9)+(AF9/AJ9)+(AG9/AK9)+(AH9/AL9)+#REF!+#REF!+#REF!+#REF!,0),"")</f>
        <v/>
      </c>
      <c r="AO9" s="30">
        <v>1</v>
      </c>
      <c r="AP9" s="30"/>
      <c r="AQ9" s="81">
        <v>30</v>
      </c>
      <c r="AR9" s="81">
        <v>5</v>
      </c>
      <c r="AS9" s="81">
        <v>2</v>
      </c>
      <c r="AT9" s="81">
        <v>12</v>
      </c>
      <c r="AU9" s="81">
        <f>+AQ9-AR9-AS9-AT9</f>
        <v>11</v>
      </c>
      <c r="AV9" s="30">
        <f>+[1]Inicio!$B$27</f>
        <v>10</v>
      </c>
      <c r="AW9" s="30">
        <f>+[1]Inicio!$B$28</f>
        <v>10</v>
      </c>
      <c r="AX9" s="30">
        <f>+[1]Inicio!$B$26</f>
        <v>10</v>
      </c>
      <c r="AY9" s="30">
        <f>+[1]Inicio!$B$29</f>
        <v>10</v>
      </c>
      <c r="AZ9" s="30" t="str">
        <f>+IFERROR(ROUNDUP((AR9/AV9)+(AS9/AW9)+(AT9/AX9)+(AU9/AY9)+#REF!+#REF!+#REF!+#REF!,0),"")</f>
        <v/>
      </c>
    </row>
    <row r="10" spans="1:52">
      <c r="A10" s="30">
        <v>2</v>
      </c>
      <c r="B10" s="30"/>
      <c r="C10" s="81">
        <v>20</v>
      </c>
      <c r="D10" s="81">
        <v>8</v>
      </c>
      <c r="E10" s="81">
        <v>1</v>
      </c>
      <c r="F10" s="81">
        <v>9</v>
      </c>
      <c r="G10" s="81">
        <f>+C10-D10-E10-F10</f>
        <v>2</v>
      </c>
      <c r="H10" s="30">
        <f>+[1]Inicio!$B$27</f>
        <v>10</v>
      </c>
      <c r="I10" s="30">
        <f>+[1]Inicio!$B$28</f>
        <v>10</v>
      </c>
      <c r="J10" s="30">
        <f>+[1]Inicio!$B$26</f>
        <v>10</v>
      </c>
      <c r="K10" s="30">
        <f>+[1]Inicio!$B$29</f>
        <v>10</v>
      </c>
      <c r="L10" s="30" t="str">
        <f>+IFERROR(ROUNDUP((D10/H10)+(E10/I10)+(F10/J10)+(G10/K10)+#REF!+#REF!+#REF!+#REF!,0),"")</f>
        <v/>
      </c>
      <c r="O10" s="30">
        <v>2</v>
      </c>
      <c r="P10" s="30"/>
      <c r="Q10" s="81">
        <v>20</v>
      </c>
      <c r="R10" s="81">
        <v>8</v>
      </c>
      <c r="S10" s="81">
        <v>1</v>
      </c>
      <c r="T10" s="81">
        <v>9</v>
      </c>
      <c r="U10" s="81">
        <f>+Q10-R10-S10-T10</f>
        <v>2</v>
      </c>
      <c r="V10" s="30">
        <f>+[1]Inicio!$B$27</f>
        <v>10</v>
      </c>
      <c r="W10" s="30">
        <f>+[1]Inicio!$B$28</f>
        <v>10</v>
      </c>
      <c r="X10" s="30">
        <f>+[1]Inicio!$B$26</f>
        <v>10</v>
      </c>
      <c r="Y10" s="30">
        <f>+[1]Inicio!$B$29</f>
        <v>10</v>
      </c>
      <c r="Z10" s="30" t="str">
        <f>+IFERROR(ROUNDUP((R10/V10)+(S10/W10)+(T10/X10)+(U10/Y10)+#REF!+#REF!+#REF!+#REF!,0),"")</f>
        <v/>
      </c>
      <c r="AB10" s="30">
        <v>2</v>
      </c>
      <c r="AC10" s="30"/>
      <c r="AD10" s="81">
        <v>20</v>
      </c>
      <c r="AE10" s="81">
        <v>8</v>
      </c>
      <c r="AF10" s="81">
        <v>1</v>
      </c>
      <c r="AG10" s="81">
        <v>9</v>
      </c>
      <c r="AH10" s="81">
        <f>+AD10-AE10-AF10-AG10</f>
        <v>2</v>
      </c>
      <c r="AI10" s="30">
        <f>+[1]Inicio!$B$27</f>
        <v>10</v>
      </c>
      <c r="AJ10" s="30">
        <f>+[1]Inicio!$B$28</f>
        <v>10</v>
      </c>
      <c r="AK10" s="30">
        <f>+[1]Inicio!$B$26</f>
        <v>10</v>
      </c>
      <c r="AL10" s="30">
        <f>+[1]Inicio!$B$29</f>
        <v>10</v>
      </c>
      <c r="AM10" s="30" t="str">
        <f>+IFERROR(ROUNDUP((AE10/AI10)+(AF10/AJ10)+(AG10/AK10)+(AH10/AL10)+#REF!+#REF!+#REF!+#REF!,0),"")</f>
        <v/>
      </c>
      <c r="AO10" s="30">
        <v>2</v>
      </c>
      <c r="AP10" s="30"/>
      <c r="AQ10" s="81">
        <v>20</v>
      </c>
      <c r="AR10" s="81">
        <v>8</v>
      </c>
      <c r="AS10" s="81">
        <v>1</v>
      </c>
      <c r="AT10" s="81">
        <v>9</v>
      </c>
      <c r="AU10" s="81">
        <f>+AQ10-AR10-AS10-AT10</f>
        <v>2</v>
      </c>
      <c r="AV10" s="30">
        <f>+[1]Inicio!$B$27</f>
        <v>10</v>
      </c>
      <c r="AW10" s="30">
        <f>+[1]Inicio!$B$28</f>
        <v>10</v>
      </c>
      <c r="AX10" s="30">
        <f>+[1]Inicio!$B$26</f>
        <v>10</v>
      </c>
      <c r="AY10" s="30">
        <f>+[1]Inicio!$B$29</f>
        <v>10</v>
      </c>
      <c r="AZ10" s="30" t="str">
        <f>+IFERROR(ROUNDUP((AR10/AV10)+(AS10/AW10)+(AT10/AX10)+(AU10/AY10)+#REF!+#REF!+#REF!+#REF!,0),"")</f>
        <v/>
      </c>
    </row>
    <row r="11" spans="1:52">
      <c r="A11" s="30">
        <v>3</v>
      </c>
      <c r="B11" s="30"/>
      <c r="C11" s="81">
        <v>30</v>
      </c>
      <c r="D11" s="81">
        <v>4</v>
      </c>
      <c r="E11" s="81">
        <v>4</v>
      </c>
      <c r="F11" s="81">
        <v>3</v>
      </c>
      <c r="G11" s="81">
        <f>+C11-D11-E11-F11</f>
        <v>19</v>
      </c>
      <c r="H11" s="30">
        <f>+[1]Inicio!$B$27</f>
        <v>10</v>
      </c>
      <c r="I11" s="30">
        <f>+[1]Inicio!$B$28</f>
        <v>10</v>
      </c>
      <c r="J11" s="30">
        <f>+[1]Inicio!$B$26</f>
        <v>10</v>
      </c>
      <c r="K11" s="30">
        <f>+[1]Inicio!$B$29</f>
        <v>10</v>
      </c>
      <c r="L11" s="30" t="str">
        <f>+IFERROR(ROUNDUP((D11/H11)+(E11/I11)+(F11/J11)+(G11/K11)+#REF!+#REF!+#REF!+#REF!,0),"")</f>
        <v/>
      </c>
      <c r="O11" s="30">
        <v>3</v>
      </c>
      <c r="P11" s="30"/>
      <c r="Q11" s="81">
        <v>30</v>
      </c>
      <c r="R11" s="81">
        <v>4</v>
      </c>
      <c r="S11" s="81">
        <v>4</v>
      </c>
      <c r="T11" s="81">
        <v>3</v>
      </c>
      <c r="U11" s="81">
        <f>+Q11-R11-S11-T11</f>
        <v>19</v>
      </c>
      <c r="V11" s="30">
        <f>+[1]Inicio!$B$27</f>
        <v>10</v>
      </c>
      <c r="W11" s="30">
        <f>+[1]Inicio!$B$28</f>
        <v>10</v>
      </c>
      <c r="X11" s="30">
        <f>+[1]Inicio!$B$26</f>
        <v>10</v>
      </c>
      <c r="Y11" s="30">
        <f>+[1]Inicio!$B$29</f>
        <v>10</v>
      </c>
      <c r="Z11" s="30" t="str">
        <f>+IFERROR(ROUNDUP((R11/V11)+(S11/W11)+(T11/X11)+(U11/Y11)+#REF!+#REF!+#REF!+#REF!,0),"")</f>
        <v/>
      </c>
      <c r="AB11" s="30">
        <v>3</v>
      </c>
      <c r="AC11" s="30"/>
      <c r="AD11" s="81">
        <v>30</v>
      </c>
      <c r="AE11" s="81">
        <v>4</v>
      </c>
      <c r="AF11" s="81">
        <v>4</v>
      </c>
      <c r="AG11" s="81">
        <v>3</v>
      </c>
      <c r="AH11" s="81">
        <f>+AD11-AE11-AF11-AG11</f>
        <v>19</v>
      </c>
      <c r="AI11" s="30">
        <f>+[1]Inicio!$B$27</f>
        <v>10</v>
      </c>
      <c r="AJ11" s="30">
        <f>+[1]Inicio!$B$28</f>
        <v>10</v>
      </c>
      <c r="AK11" s="30">
        <f>+[1]Inicio!$B$26</f>
        <v>10</v>
      </c>
      <c r="AL11" s="30">
        <f>+[1]Inicio!$B$29</f>
        <v>10</v>
      </c>
      <c r="AM11" s="30" t="str">
        <f>+IFERROR(ROUNDUP((AE11/AI11)+(AF11/AJ11)+(AG11/AK11)+(AH11/AL11)+#REF!+#REF!+#REF!+#REF!,0),"")</f>
        <v/>
      </c>
      <c r="AO11" s="30">
        <v>3</v>
      </c>
      <c r="AP11" s="30"/>
      <c r="AQ11" s="81">
        <v>30</v>
      </c>
      <c r="AR11" s="81">
        <v>4</v>
      </c>
      <c r="AS11" s="81">
        <v>4</v>
      </c>
      <c r="AT11" s="81">
        <v>3</v>
      </c>
      <c r="AU11" s="81">
        <f>+AQ11-AR11-AS11-AT11</f>
        <v>19</v>
      </c>
      <c r="AV11" s="30">
        <f>+[1]Inicio!$B$27</f>
        <v>10</v>
      </c>
      <c r="AW11" s="30">
        <f>+[1]Inicio!$B$28</f>
        <v>10</v>
      </c>
      <c r="AX11" s="30">
        <f>+[1]Inicio!$B$26</f>
        <v>10</v>
      </c>
      <c r="AY11" s="30">
        <f>+[1]Inicio!$B$29</f>
        <v>10</v>
      </c>
      <c r="AZ11" s="30" t="str">
        <f>+IFERROR(ROUNDUP((AR11/AV11)+(AS11/AW11)+(AT11/AX11)+(AU11/AY11)+#REF!+#REF!+#REF!+#REF!,0),"")</f>
        <v/>
      </c>
    </row>
    <row r="12" spans="1:52">
      <c r="A12" s="30">
        <v>4</v>
      </c>
      <c r="B12" s="30"/>
      <c r="C12" s="81">
        <v>40</v>
      </c>
      <c r="D12" s="81">
        <v>9</v>
      </c>
      <c r="E12" s="81">
        <v>3</v>
      </c>
      <c r="F12" s="81">
        <v>14</v>
      </c>
      <c r="G12" s="81">
        <f>+C12-D12-E12-F12</f>
        <v>14</v>
      </c>
      <c r="H12" s="30">
        <f>+[1]Inicio!$B$27</f>
        <v>10</v>
      </c>
      <c r="I12" s="30">
        <f>+[1]Inicio!$B$28</f>
        <v>10</v>
      </c>
      <c r="J12" s="30">
        <f>+[1]Inicio!$B$26</f>
        <v>10</v>
      </c>
      <c r="K12" s="30">
        <f>+[1]Inicio!$B$29</f>
        <v>10</v>
      </c>
      <c r="L12" s="30" t="str">
        <f>+IFERROR(ROUNDUP((D12/H12)+(E12/I12)+(F12/J12)+(G12/K12)+#REF!+#REF!+#REF!+#REF!,0),"")</f>
        <v/>
      </c>
      <c r="O12" s="30">
        <v>4</v>
      </c>
      <c r="P12" s="30"/>
      <c r="Q12" s="81">
        <v>40</v>
      </c>
      <c r="R12" s="81">
        <v>9</v>
      </c>
      <c r="S12" s="81">
        <v>3</v>
      </c>
      <c r="T12" s="81">
        <v>14</v>
      </c>
      <c r="U12" s="81">
        <f>+Q12-R12-S12-T12</f>
        <v>14</v>
      </c>
      <c r="V12" s="30">
        <f>+[1]Inicio!$B$27</f>
        <v>10</v>
      </c>
      <c r="W12" s="30">
        <f>+[1]Inicio!$B$28</f>
        <v>10</v>
      </c>
      <c r="X12" s="30">
        <f>+[1]Inicio!$B$26</f>
        <v>10</v>
      </c>
      <c r="Y12" s="30">
        <f>+[1]Inicio!$B$29</f>
        <v>10</v>
      </c>
      <c r="Z12" s="30" t="str">
        <f>+IFERROR(ROUNDUP((R12/V12)+(S12/W12)+(T12/X12)+(U12/Y12)+#REF!+#REF!+#REF!+#REF!,0),"")</f>
        <v/>
      </c>
      <c r="AB12" s="30">
        <v>4</v>
      </c>
      <c r="AC12" s="30"/>
      <c r="AD12" s="81">
        <v>40</v>
      </c>
      <c r="AE12" s="81">
        <v>9</v>
      </c>
      <c r="AF12" s="81">
        <v>3</v>
      </c>
      <c r="AG12" s="81">
        <v>14</v>
      </c>
      <c r="AH12" s="81">
        <f>+AD12-AE12-AF12-AG12</f>
        <v>14</v>
      </c>
      <c r="AI12" s="30">
        <f>+[1]Inicio!$B$27</f>
        <v>10</v>
      </c>
      <c r="AJ12" s="30">
        <f>+[1]Inicio!$B$28</f>
        <v>10</v>
      </c>
      <c r="AK12" s="30">
        <f>+[1]Inicio!$B$26</f>
        <v>10</v>
      </c>
      <c r="AL12" s="30">
        <f>+[1]Inicio!$B$29</f>
        <v>10</v>
      </c>
      <c r="AM12" s="30" t="str">
        <f>+IFERROR(ROUNDUP((AE12/AI12)+(AF12/AJ12)+(AG12/AK12)+(AH12/AL12)+#REF!+#REF!+#REF!+#REF!,0),"")</f>
        <v/>
      </c>
      <c r="AO12" s="30">
        <v>4</v>
      </c>
      <c r="AP12" s="30"/>
      <c r="AQ12" s="81">
        <v>40</v>
      </c>
      <c r="AR12" s="81">
        <v>9</v>
      </c>
      <c r="AS12" s="81">
        <v>3</v>
      </c>
      <c r="AT12" s="81">
        <v>14</v>
      </c>
      <c r="AU12" s="81">
        <f>+AQ12-AR12-AS12-AT12</f>
        <v>14</v>
      </c>
      <c r="AV12" s="30">
        <f>+[1]Inicio!$B$27</f>
        <v>10</v>
      </c>
      <c r="AW12" s="30">
        <f>+[1]Inicio!$B$28</f>
        <v>10</v>
      </c>
      <c r="AX12" s="30">
        <f>+[1]Inicio!$B$26</f>
        <v>10</v>
      </c>
      <c r="AY12" s="30">
        <f>+[1]Inicio!$B$29</f>
        <v>10</v>
      </c>
      <c r="AZ12" s="30" t="str">
        <f>+IFERROR(ROUNDUP((AR12/AV12)+(AS12/AW12)+(AT12/AX12)+(AU12/AY12)+#REF!+#REF!+#REF!+#REF!,0),"")</f>
        <v/>
      </c>
    </row>
    <row r="13" spans="1:52">
      <c r="A13" s="30">
        <v>5</v>
      </c>
      <c r="B13" s="30"/>
      <c r="C13" s="81">
        <v>30</v>
      </c>
      <c r="D13" s="81">
        <v>4</v>
      </c>
      <c r="E13" s="81">
        <v>2</v>
      </c>
      <c r="F13" s="81">
        <v>21</v>
      </c>
      <c r="G13" s="81">
        <f>+C13-D13-E13-F13</f>
        <v>3</v>
      </c>
      <c r="H13" s="30">
        <f>+[1]Inicio!$B$27</f>
        <v>10</v>
      </c>
      <c r="I13" s="30">
        <f>+[1]Inicio!$B$28</f>
        <v>10</v>
      </c>
      <c r="J13" s="30">
        <f>+[1]Inicio!$B$26</f>
        <v>10</v>
      </c>
      <c r="K13" s="30">
        <f>+[1]Inicio!$B$29</f>
        <v>10</v>
      </c>
      <c r="L13" s="30" t="str">
        <f>+IFERROR(ROUNDUP((D13/H13)+(E13/I13)+(F13/J13)+(G13/K13)+#REF!+#REF!+#REF!+#REF!,0),"")</f>
        <v/>
      </c>
      <c r="O13" s="30">
        <v>5</v>
      </c>
      <c r="P13" s="30"/>
      <c r="Q13" s="81">
        <v>30</v>
      </c>
      <c r="R13" s="81">
        <v>4</v>
      </c>
      <c r="S13" s="81">
        <v>2</v>
      </c>
      <c r="T13" s="81">
        <v>21</v>
      </c>
      <c r="U13" s="81">
        <f>+Q13-R13-S13-T13</f>
        <v>3</v>
      </c>
      <c r="V13" s="30">
        <f>+[1]Inicio!$B$27</f>
        <v>10</v>
      </c>
      <c r="W13" s="30">
        <f>+[1]Inicio!$B$28</f>
        <v>10</v>
      </c>
      <c r="X13" s="30">
        <f>+[1]Inicio!$B$26</f>
        <v>10</v>
      </c>
      <c r="Y13" s="30">
        <f>+[1]Inicio!$B$29</f>
        <v>10</v>
      </c>
      <c r="Z13" s="30" t="str">
        <f>+IFERROR(ROUNDUP((R13/V13)+(S13/W13)+(T13/X13)+(U13/Y13)+#REF!+#REF!+#REF!+#REF!,0),"")</f>
        <v/>
      </c>
      <c r="AB13" s="30">
        <v>5</v>
      </c>
      <c r="AC13" s="30"/>
      <c r="AD13" s="81">
        <v>30</v>
      </c>
      <c r="AE13" s="81">
        <v>4</v>
      </c>
      <c r="AF13" s="81">
        <v>2</v>
      </c>
      <c r="AG13" s="81">
        <v>21</v>
      </c>
      <c r="AH13" s="81">
        <f>+AD13-AE13-AF13-AG13</f>
        <v>3</v>
      </c>
      <c r="AI13" s="30">
        <f>+[1]Inicio!$B$27</f>
        <v>10</v>
      </c>
      <c r="AJ13" s="30">
        <f>+[1]Inicio!$B$28</f>
        <v>10</v>
      </c>
      <c r="AK13" s="30">
        <f>+[1]Inicio!$B$26</f>
        <v>10</v>
      </c>
      <c r="AL13" s="30">
        <f>+[1]Inicio!$B$29</f>
        <v>10</v>
      </c>
      <c r="AM13" s="30" t="str">
        <f>+IFERROR(ROUNDUP((AE13/AI13)+(AF13/AJ13)+(AG13/AK13)+(AH13/AL13)+#REF!+#REF!+#REF!+#REF!,0),"")</f>
        <v/>
      </c>
      <c r="AO13" s="30">
        <v>5</v>
      </c>
      <c r="AP13" s="30"/>
      <c r="AQ13" s="81">
        <v>30</v>
      </c>
      <c r="AR13" s="81">
        <v>4</v>
      </c>
      <c r="AS13" s="81">
        <v>2</v>
      </c>
      <c r="AT13" s="81">
        <v>21</v>
      </c>
      <c r="AU13" s="81">
        <f>+AQ13-AR13-AS13-AT13</f>
        <v>3</v>
      </c>
      <c r="AV13" s="30">
        <f>+[1]Inicio!$B$27</f>
        <v>10</v>
      </c>
      <c r="AW13" s="30">
        <f>+[1]Inicio!$B$28</f>
        <v>10</v>
      </c>
      <c r="AX13" s="30">
        <f>+[1]Inicio!$B$26</f>
        <v>10</v>
      </c>
      <c r="AY13" s="30">
        <f>+[1]Inicio!$B$29</f>
        <v>10</v>
      </c>
      <c r="AZ13" s="30" t="str">
        <f>+IFERROR(ROUNDUP((AR13/AV13)+(AS13/AW13)+(AT13/AX13)+(AU13/AY13)+#REF!+#REF!+#REF!+#REF!,0),"")</f>
        <v/>
      </c>
    </row>
    <row r="14" spans="1:52">
      <c r="A14"/>
      <c r="B14"/>
      <c r="O14"/>
      <c r="AB14"/>
      <c r="AO14"/>
    </row>
    <row r="15" spans="1:52">
      <c r="A15"/>
      <c r="B15"/>
      <c r="K15" s="89" t="s">
        <v>56</v>
      </c>
      <c r="L15" s="89">
        <v>30</v>
      </c>
      <c r="O15"/>
      <c r="Y15" s="89" t="s">
        <v>56</v>
      </c>
      <c r="Z15" s="89">
        <v>30</v>
      </c>
      <c r="AB15"/>
      <c r="AL15" s="89" t="s">
        <v>56</v>
      </c>
      <c r="AM15" s="89">
        <v>30</v>
      </c>
      <c r="AO15"/>
      <c r="AY15" s="89" t="s">
        <v>56</v>
      </c>
      <c r="AZ15" s="89">
        <v>30</v>
      </c>
    </row>
    <row r="16" spans="1:52">
      <c r="A16"/>
      <c r="B16"/>
      <c r="O16"/>
      <c r="AB16"/>
      <c r="AO16"/>
    </row>
    <row r="17" spans="1:51" ht="30">
      <c r="A17"/>
      <c r="B17"/>
      <c r="O17" s="279" t="s">
        <v>51</v>
      </c>
      <c r="P17" s="281" t="s">
        <v>52</v>
      </c>
      <c r="Q17" s="289" t="s">
        <v>65</v>
      </c>
      <c r="R17" s="290" t="s">
        <v>66</v>
      </c>
      <c r="S17" s="290" t="s">
        <v>67</v>
      </c>
      <c r="T17" s="290" t="s">
        <v>68</v>
      </c>
      <c r="U17" s="286" t="s">
        <v>55</v>
      </c>
      <c r="V17" s="287"/>
      <c r="W17" s="288"/>
      <c r="X17" s="26" t="s">
        <v>56</v>
      </c>
      <c r="Y17" s="97"/>
      <c r="Z17" s="97"/>
      <c r="AE17" s="85">
        <v>0.5</v>
      </c>
      <c r="AF17" s="85">
        <v>0.5</v>
      </c>
      <c r="AT17" s="85">
        <v>0.5</v>
      </c>
      <c r="AU17" s="85">
        <v>0.5</v>
      </c>
    </row>
    <row r="18" spans="1:51" ht="75">
      <c r="A18"/>
      <c r="B18"/>
      <c r="O18" s="280"/>
      <c r="P18" s="282"/>
      <c r="Q18" s="280"/>
      <c r="R18" s="291"/>
      <c r="S18" s="291"/>
      <c r="T18" s="291"/>
      <c r="U18" s="128" t="s">
        <v>62</v>
      </c>
      <c r="V18" s="128" t="s">
        <v>63</v>
      </c>
      <c r="W18" s="128" t="s">
        <v>64</v>
      </c>
      <c r="X18" s="32" t="str">
        <f>+CONCATENATE([1]Inicio!B30," ","máquinas")</f>
        <v>0 máquinas</v>
      </c>
      <c r="Y18" s="98"/>
      <c r="Z18" s="98"/>
      <c r="AB18" s="279" t="s">
        <v>51</v>
      </c>
      <c r="AC18" s="289" t="s">
        <v>69</v>
      </c>
      <c r="AD18" s="289" t="s">
        <v>70</v>
      </c>
      <c r="AE18" s="129" t="s">
        <v>71</v>
      </c>
      <c r="AF18" s="129" t="s">
        <v>72</v>
      </c>
      <c r="AG18" s="289" t="s">
        <v>73</v>
      </c>
      <c r="AH18" s="292" t="s">
        <v>56</v>
      </c>
      <c r="AI18" s="134"/>
      <c r="AJ18" s="134"/>
      <c r="AK18" s="134"/>
      <c r="AL18" s="134"/>
      <c r="AM18" s="134"/>
      <c r="AN18" s="134"/>
      <c r="AO18" s="279" t="s">
        <v>51</v>
      </c>
      <c r="AP18" s="279" t="s">
        <v>74</v>
      </c>
      <c r="AQ18" s="289" t="s">
        <v>75</v>
      </c>
      <c r="AR18" s="279" t="s">
        <v>76</v>
      </c>
      <c r="AS18" s="289" t="s">
        <v>77</v>
      </c>
      <c r="AT18" s="33" t="s">
        <v>78</v>
      </c>
      <c r="AU18" s="33" t="s">
        <v>72</v>
      </c>
      <c r="AV18" s="290" t="s">
        <v>79</v>
      </c>
      <c r="AW18" s="290" t="s">
        <v>80</v>
      </c>
      <c r="AX18" s="289" t="s">
        <v>81</v>
      </c>
      <c r="AY18" s="292" t="s">
        <v>56</v>
      </c>
    </row>
    <row r="19" spans="1:51">
      <c r="A19"/>
      <c r="B19"/>
      <c r="O19" s="30">
        <v>1</v>
      </c>
      <c r="P19" s="30" t="str">
        <f>+CONCATENATE([1]Inicio!$E$13,"-",Referencias!O19)</f>
        <v>0-1</v>
      </c>
      <c r="Q19" s="81">
        <v>20</v>
      </c>
      <c r="R19" s="81">
        <v>2</v>
      </c>
      <c r="S19" s="81">
        <f>+Q19-R19</f>
        <v>18</v>
      </c>
      <c r="T19" s="30"/>
      <c r="U19" s="30">
        <f>+[1]Inicio!$B$33</f>
        <v>0</v>
      </c>
      <c r="V19" s="30">
        <f>+[1]Inicio!$B$31</f>
        <v>0</v>
      </c>
      <c r="W19" s="90">
        <f>+[1]Inicio!$B$34</f>
        <v>0</v>
      </c>
      <c r="X19" s="90" t="str">
        <f>+(IFERROR(ROUNDUP((R19/V19)+(S19/W19)+#REF!+#REF!+#REF!+T19+#REF!,0),""))</f>
        <v/>
      </c>
      <c r="Y19" s="99"/>
      <c r="Z19" s="99"/>
      <c r="AB19" s="280"/>
      <c r="AC19" s="281"/>
      <c r="AD19" s="280"/>
      <c r="AE19" s="31" t="s">
        <v>82</v>
      </c>
      <c r="AF19" s="31" t="s">
        <v>82</v>
      </c>
      <c r="AG19" s="280"/>
      <c r="AH19" s="293"/>
      <c r="AI19" s="133"/>
      <c r="AJ19" s="133"/>
      <c r="AK19" s="133"/>
      <c r="AL19" s="133"/>
      <c r="AM19" s="133"/>
      <c r="AN19" s="133"/>
      <c r="AO19" s="280"/>
      <c r="AP19" s="280"/>
      <c r="AQ19" s="281"/>
      <c r="AR19" s="280"/>
      <c r="AS19" s="280"/>
      <c r="AT19" s="31" t="s">
        <v>82</v>
      </c>
      <c r="AU19" s="31" t="s">
        <v>82</v>
      </c>
      <c r="AV19" s="291"/>
      <c r="AW19" s="291"/>
      <c r="AX19" s="280"/>
      <c r="AY19" s="293"/>
    </row>
    <row r="20" spans="1:51" ht="26.25">
      <c r="A20"/>
      <c r="B20"/>
      <c r="O20"/>
      <c r="P20" s="30" t="str">
        <f>+CONCATENATE([1]Inicio!$E$13,"-",Referencias!O20)</f>
        <v>0-</v>
      </c>
      <c r="Q20" s="88"/>
      <c r="R20" s="88"/>
      <c r="S20" s="81">
        <f>+Q20-R20</f>
        <v>0</v>
      </c>
      <c r="T20" s="30"/>
      <c r="U20" s="30">
        <f>+[1]Inicio!$B$33</f>
        <v>0</v>
      </c>
      <c r="V20" s="80">
        <f>+[1]Inicio!$B$31</f>
        <v>0</v>
      </c>
      <c r="W20" s="91" t="s">
        <v>56</v>
      </c>
      <c r="X20" s="91">
        <v>0</v>
      </c>
      <c r="Y20" s="100"/>
      <c r="Z20" s="100"/>
      <c r="AB20" s="30">
        <v>1</v>
      </c>
      <c r="AC20" s="30" t="str">
        <f>+CONCATENATE([1]Inicio!E14,"-",Referencias!AB20)</f>
        <v>0-1</v>
      </c>
      <c r="AD20" s="81">
        <v>30</v>
      </c>
      <c r="AE20" s="30">
        <f>+IF(AND(AB20&lt;&gt;"",$AE$19="Aplica"),$AE$17,"")</f>
        <v>0.5</v>
      </c>
      <c r="AF20" s="30">
        <f>+IF(AND(AB20&lt;&gt;"",$AF$19="Aplica"),$AF$17,"")</f>
        <v>0.5</v>
      </c>
      <c r="AG20" s="90">
        <f>+[1]Inicio!$B$36</f>
        <v>0</v>
      </c>
      <c r="AH20" s="92" t="str">
        <f>+IFERROR(ROUNDUP((AD20/AG20)+AE20+AF20+#REF!,0),"")</f>
        <v/>
      </c>
      <c r="AI20" s="99"/>
      <c r="AJ20" s="99"/>
      <c r="AK20" s="99"/>
      <c r="AL20" s="99"/>
      <c r="AM20" s="99"/>
      <c r="AN20" s="99"/>
      <c r="AO20" s="30">
        <v>1</v>
      </c>
      <c r="AP20" s="81"/>
      <c r="AQ20" s="82" t="str">
        <f>+CONCATENATE([1]Inicio!$E$15,"-",Referencias!AO20)</f>
        <v>0-1</v>
      </c>
      <c r="AR20" s="81"/>
      <c r="AS20" s="81">
        <v>15</v>
      </c>
      <c r="AT20" s="30">
        <f>+IF(AND(AO20&lt;&gt;"",$AT$19="Aplica"),$AT$17,"")</f>
        <v>0.5</v>
      </c>
      <c r="AU20" s="30">
        <f>+IF(AND(AO20&lt;&gt;"",$AU$19="Aplica"),$AU$17,"")</f>
        <v>0.5</v>
      </c>
      <c r="AV20" s="30" t="s">
        <v>83</v>
      </c>
      <c r="AW20" s="30">
        <f>+VLOOKUP(AV20,'[1]Datos de entrada'!$B$19:$C$22,2,FALSE)</f>
        <v>0.25</v>
      </c>
      <c r="AX20" s="90">
        <f>+[1]Inicio!$B$38</f>
        <v>0</v>
      </c>
      <c r="AY20" s="90" t="str">
        <f>+IFERROR(ROUNDUP((AS20/AX20)+AT20+AU20+AW20,0),"")</f>
        <v/>
      </c>
    </row>
    <row r="21" spans="1:51" ht="26.25">
      <c r="A21"/>
      <c r="B21"/>
      <c r="O21"/>
      <c r="AB21"/>
      <c r="AC21" s="30" t="str">
        <f>+CONCATENATE([1]Inicio!E15,"-",Referencias!AB21)</f>
        <v>0-</v>
      </c>
      <c r="AD21" s="88"/>
      <c r="AE21" s="30" t="str">
        <f>+IF(AND(AB21&lt;&gt;"",$AE$19="Aplica"),$AE$17,"")</f>
        <v/>
      </c>
      <c r="AF21" s="30" t="str">
        <f>+IF(AND(AB21&lt;&gt;"",$AF$19="Aplica"),$AF$17,"")</f>
        <v/>
      </c>
      <c r="AG21" s="91" t="s">
        <v>56</v>
      </c>
      <c r="AH21" s="91">
        <v>0</v>
      </c>
      <c r="AI21" s="99"/>
      <c r="AJ21" s="99"/>
      <c r="AK21" s="99"/>
      <c r="AL21" s="99"/>
      <c r="AM21" s="99"/>
      <c r="AN21" s="99"/>
      <c r="AO21"/>
      <c r="AP21" s="88"/>
      <c r="AQ21" s="82" t="str">
        <f>+CONCATENATE([1]Inicio!$E$15,"-",Referencias!AO21)</f>
        <v>0-</v>
      </c>
      <c r="AR21" s="88"/>
      <c r="AS21" s="88"/>
      <c r="AT21" s="30" t="str">
        <f>+IF(AND(AO21&lt;&gt;"",$AT$19="Aplica"),$AT$17,"")</f>
        <v/>
      </c>
      <c r="AU21" s="30" t="str">
        <f>+IF(AND(AO21&lt;&gt;"",$AU$19="Aplica"),$AU$17,"")</f>
        <v/>
      </c>
      <c r="AV21" s="30" t="s">
        <v>83</v>
      </c>
      <c r="AW21" s="80">
        <f>+VLOOKUP(AV21,'[1]Datos de entrada'!$B$19:$C$22,2,FALSE)</f>
        <v>0.25</v>
      </c>
      <c r="AX21" s="91" t="s">
        <v>56</v>
      </c>
      <c r="AY21" s="91">
        <v>0</v>
      </c>
    </row>
    <row r="22" spans="1:51">
      <c r="A22"/>
      <c r="B22"/>
      <c r="O22"/>
      <c r="AB22"/>
      <c r="AO22"/>
    </row>
    <row r="23" spans="1:51">
      <c r="A23"/>
      <c r="B23"/>
      <c r="O23"/>
      <c r="AB23"/>
      <c r="AO23"/>
    </row>
    <row r="24" spans="1:51">
      <c r="A24"/>
      <c r="B24"/>
      <c r="O24"/>
      <c r="AB24"/>
      <c r="AO24"/>
    </row>
    <row r="25" spans="1:51">
      <c r="A25"/>
      <c r="B25"/>
      <c r="O25"/>
      <c r="AB25"/>
      <c r="AO25"/>
    </row>
    <row r="26" spans="1:51">
      <c r="A26"/>
      <c r="B26"/>
      <c r="O26"/>
      <c r="AB26"/>
      <c r="AO26"/>
    </row>
    <row r="27" spans="1:51">
      <c r="A27"/>
      <c r="B27"/>
      <c r="O27"/>
      <c r="AB27"/>
      <c r="AO27"/>
    </row>
    <row r="28" spans="1:51">
      <c r="A28"/>
      <c r="B28"/>
      <c r="O28"/>
      <c r="AB28"/>
      <c r="AO28"/>
    </row>
    <row r="29" spans="1:51">
      <c r="A29"/>
      <c r="B29"/>
      <c r="O29"/>
      <c r="AB29"/>
      <c r="AO29"/>
    </row>
    <row r="30" spans="1:51">
      <c r="A30"/>
      <c r="B30"/>
      <c r="O30"/>
      <c r="AB30"/>
      <c r="AO30"/>
    </row>
    <row r="31" spans="1:51">
      <c r="A31"/>
      <c r="B31"/>
      <c r="O31"/>
      <c r="AB31"/>
      <c r="AO31"/>
    </row>
    <row r="32" spans="1:51">
      <c r="A32"/>
      <c r="B32"/>
      <c r="O32"/>
      <c r="AB32"/>
      <c r="AO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</sheetData>
  <mergeCells count="45">
    <mergeCell ref="AP18:AP19"/>
    <mergeCell ref="AY18:AY19"/>
    <mergeCell ref="AQ18:AQ19"/>
    <mergeCell ref="AR18:AR19"/>
    <mergeCell ref="AS18:AS19"/>
    <mergeCell ref="AV18:AV19"/>
    <mergeCell ref="AW18:AW19"/>
    <mergeCell ref="AX18:AX19"/>
    <mergeCell ref="AD18:AD19"/>
    <mergeCell ref="AG18:AG19"/>
    <mergeCell ref="AH18:AH19"/>
    <mergeCell ref="AO18:AO19"/>
    <mergeCell ref="AC7:AC8"/>
    <mergeCell ref="AR7:AU7"/>
    <mergeCell ref="AV7:AY7"/>
    <mergeCell ref="O17:O18"/>
    <mergeCell ref="P17:P18"/>
    <mergeCell ref="Q17:Q18"/>
    <mergeCell ref="R17:R18"/>
    <mergeCell ref="S17:S18"/>
    <mergeCell ref="T17:T18"/>
    <mergeCell ref="U17:W17"/>
    <mergeCell ref="AB18:AB19"/>
    <mergeCell ref="AD7:AD8"/>
    <mergeCell ref="AE7:AH7"/>
    <mergeCell ref="AI7:AL7"/>
    <mergeCell ref="AO7:AO8"/>
    <mergeCell ref="AP7:AP8"/>
    <mergeCell ref="AC18:AC19"/>
    <mergeCell ref="A3:L3"/>
    <mergeCell ref="O3:Z3"/>
    <mergeCell ref="AB3:AM3"/>
    <mergeCell ref="AO3:AZ3"/>
    <mergeCell ref="A7:A8"/>
    <mergeCell ref="B7:B8"/>
    <mergeCell ref="C7:C8"/>
    <mergeCell ref="D7:G7"/>
    <mergeCell ref="H7:K7"/>
    <mergeCell ref="O7:O8"/>
    <mergeCell ref="AQ7:AQ8"/>
    <mergeCell ref="P7:P8"/>
    <mergeCell ref="Q7:Q8"/>
    <mergeCell ref="R7:U7"/>
    <mergeCell ref="V7:Y7"/>
    <mergeCell ref="AB7:AB8"/>
  </mergeCells>
  <dataValidations count="1">
    <dataValidation type="list" allowBlank="1" showInputMessage="1" showErrorMessage="1" prompt="Seleccione si aplica o no aplica" sqref="AE19:AF19 AT19:AU19" xr:uid="{00000000-0002-0000-0100-000000000000}">
      <formula1>"Aplica,No aplica"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'C:\Users\Leonardo Cornejo\Downloads\[Formato Para Campañas Geotecnicas -MOD v2.xlsm]Datos de entrada'!#REF!</xm:f>
          </x14:formula1>
          <xm:sqref>AV20:AV21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theme="6" tint="0.59999389629810485"/>
  </sheetPr>
  <dimension ref="B3:H27"/>
  <sheetViews>
    <sheetView zoomScale="85" zoomScaleNormal="85" workbookViewId="0">
      <selection activeCell="D32" sqref="D32"/>
    </sheetView>
  </sheetViews>
  <sheetFormatPr defaultColWidth="11.42578125" defaultRowHeight="15"/>
  <cols>
    <col min="2" max="2" width="34.42578125" style="115" customWidth="1"/>
    <col min="3" max="3" width="21.7109375" customWidth="1"/>
    <col min="6" max="6" width="81.5703125" customWidth="1"/>
  </cols>
  <sheetData>
    <row r="3" spans="2:8">
      <c r="B3" s="201" t="s">
        <v>84</v>
      </c>
      <c r="C3" s="201" t="s">
        <v>85</v>
      </c>
      <c r="D3" s="201" t="s">
        <v>86</v>
      </c>
      <c r="E3" s="201" t="s">
        <v>87</v>
      </c>
      <c r="F3" s="201" t="s">
        <v>88</v>
      </c>
      <c r="G3" s="2"/>
      <c r="H3" s="2"/>
    </row>
    <row r="4" spans="2:8">
      <c r="B4" s="202" t="s">
        <v>89</v>
      </c>
      <c r="C4" s="203" t="s">
        <v>90</v>
      </c>
      <c r="D4" s="204">
        <v>8</v>
      </c>
      <c r="E4" s="205">
        <v>8</v>
      </c>
      <c r="F4" s="102"/>
      <c r="G4" s="2">
        <v>2</v>
      </c>
      <c r="H4" s="2">
        <f>IF('Inicio MOD'!$C$5=Reembolsables!$D$3,Reembolsables!D4,IF('Inicio MOD'!$C$5=Reembolsables!$E$3,E4,"No Coincide"))</f>
        <v>8</v>
      </c>
    </row>
    <row r="5" spans="2:8">
      <c r="B5" s="206" t="s">
        <v>91</v>
      </c>
      <c r="C5" s="207" t="s">
        <v>92</v>
      </c>
      <c r="D5" s="205"/>
      <c r="E5" s="205"/>
      <c r="F5" s="206" t="s">
        <v>93</v>
      </c>
      <c r="G5" s="2">
        <v>3</v>
      </c>
      <c r="H5" s="2">
        <f>IF('Inicio MOD'!$C$5=Reembolsables!$D$3,Reembolsables!D5,IF('Inicio MOD'!$C$5=Reembolsables!$E$3,E5,"No Coincide"))</f>
        <v>0</v>
      </c>
    </row>
    <row r="6" spans="2:8">
      <c r="B6" s="206" t="s">
        <v>94</v>
      </c>
      <c r="C6" s="207" t="s">
        <v>95</v>
      </c>
      <c r="D6" s="205">
        <v>3.5</v>
      </c>
      <c r="E6" s="205">
        <v>3.5</v>
      </c>
      <c r="F6" s="206"/>
      <c r="G6" s="2">
        <v>4</v>
      </c>
      <c r="H6" s="2">
        <f>IF('Inicio MOD'!$C$5=Reembolsables!$D$3,Reembolsables!D6,IF('Inicio MOD'!$C$5=Reembolsables!$E$3,E6,"No Coincide"))</f>
        <v>3.5</v>
      </c>
    </row>
    <row r="7" spans="2:8" ht="25.5">
      <c r="B7" s="206" t="s">
        <v>96</v>
      </c>
      <c r="C7" s="207" t="s">
        <v>97</v>
      </c>
      <c r="D7" s="205">
        <v>400</v>
      </c>
      <c r="E7" s="205">
        <v>100</v>
      </c>
      <c r="F7" s="206" t="s">
        <v>98</v>
      </c>
      <c r="G7" s="2">
        <v>5</v>
      </c>
      <c r="H7" s="2">
        <f>IF('Inicio MOD'!$C$5=Reembolsables!$D$3,Reembolsables!D7,IF('Inicio MOD'!$C$5=Reembolsables!$E$3,E7,"No Coincide"))</f>
        <v>400</v>
      </c>
    </row>
    <row r="8" spans="2:8">
      <c r="B8" s="206" t="s">
        <v>99</v>
      </c>
      <c r="C8" s="207" t="s">
        <v>100</v>
      </c>
      <c r="D8" s="205">
        <v>30</v>
      </c>
      <c r="E8" s="205">
        <v>30</v>
      </c>
      <c r="F8" s="206"/>
      <c r="G8" s="2">
        <v>6</v>
      </c>
      <c r="H8" s="2">
        <f>IF('Inicio MOD'!$C$5=Reembolsables!$D$3,Reembolsables!D8,IF('Inicio MOD'!$C$5=Reembolsables!$E$3,E8,"No Coincide"))</f>
        <v>30</v>
      </c>
    </row>
    <row r="9" spans="2:8" ht="25.5">
      <c r="B9" s="206" t="s">
        <v>101</v>
      </c>
      <c r="C9" s="207" t="s">
        <v>100</v>
      </c>
      <c r="D9" s="205">
        <v>100</v>
      </c>
      <c r="E9" s="205">
        <v>100</v>
      </c>
      <c r="F9" s="206"/>
      <c r="G9" s="2">
        <v>7</v>
      </c>
      <c r="H9" s="2">
        <f>IF('Inicio MOD'!$C$5=Reembolsables!$D$3,Reembolsables!D9,IF('Inicio MOD'!$C$5=Reembolsables!$E$3,E9,"No Coincide"))</f>
        <v>100</v>
      </c>
    </row>
    <row r="10" spans="2:8">
      <c r="B10" s="206" t="s">
        <v>102</v>
      </c>
      <c r="C10" s="207" t="s">
        <v>100</v>
      </c>
      <c r="D10" s="205">
        <v>90</v>
      </c>
      <c r="E10" s="205">
        <v>90</v>
      </c>
      <c r="F10" s="206"/>
      <c r="G10" s="2">
        <v>8</v>
      </c>
      <c r="H10" s="2">
        <f>IF('Inicio MOD'!$C$5=Reembolsables!$D$3,Reembolsables!D10,IF('Inicio MOD'!$C$5=Reembolsables!$E$3,E10,"No Coincide"))</f>
        <v>90</v>
      </c>
    </row>
    <row r="11" spans="2:8">
      <c r="B11" s="206" t="s">
        <v>103</v>
      </c>
      <c r="C11" s="207" t="s">
        <v>100</v>
      </c>
      <c r="D11" s="205">
        <v>70</v>
      </c>
      <c r="E11" s="205">
        <v>70</v>
      </c>
      <c r="F11" s="206"/>
      <c r="G11" s="2">
        <v>9</v>
      </c>
      <c r="H11" s="2">
        <f>IF('Inicio MOD'!$C$5=Reembolsables!$D$3,Reembolsables!D11,IF('Inicio MOD'!$C$5=Reembolsables!$E$3,E11,"No Coincide"))</f>
        <v>70</v>
      </c>
    </row>
    <row r="12" spans="2:8">
      <c r="B12" s="206" t="s">
        <v>104</v>
      </c>
      <c r="C12" s="207" t="s">
        <v>105</v>
      </c>
      <c r="D12" s="205">
        <v>10</v>
      </c>
      <c r="E12" s="102"/>
      <c r="F12" s="206" t="s">
        <v>106</v>
      </c>
      <c r="G12" s="2">
        <v>10</v>
      </c>
      <c r="H12" s="2">
        <f>IF('Inicio MOD'!$C$5=Reembolsables!$D$3,Reembolsables!D12,IF('Inicio MOD'!$C$5=Reembolsables!$E$3,E12,"No Coincide"))</f>
        <v>10</v>
      </c>
    </row>
    <row r="13" spans="2:8">
      <c r="B13" s="206" t="s">
        <v>107</v>
      </c>
      <c r="C13" s="207" t="s">
        <v>100</v>
      </c>
      <c r="D13" s="205">
        <v>100</v>
      </c>
      <c r="E13" s="102"/>
      <c r="F13" s="206" t="s">
        <v>106</v>
      </c>
      <c r="G13" s="2">
        <v>11</v>
      </c>
      <c r="H13" s="2">
        <f>IF('Inicio MOD'!$C$5=Reembolsables!$D$3,Reembolsables!D13,IF('Inicio MOD'!$C$5=Reembolsables!$E$3,E13,"No Coincide"))</f>
        <v>100</v>
      </c>
    </row>
    <row r="14" spans="2:8" ht="25.5">
      <c r="B14" s="208" t="s">
        <v>108</v>
      </c>
      <c r="C14" s="209" t="s">
        <v>109</v>
      </c>
      <c r="D14" s="210">
        <v>305</v>
      </c>
      <c r="E14" s="205">
        <v>240</v>
      </c>
      <c r="F14" s="206"/>
      <c r="G14" s="2">
        <v>12</v>
      </c>
      <c r="H14" s="2">
        <f>IF('Inicio MOD'!$C$5=Reembolsables!$D$3,Reembolsables!D14,IF('Inicio MOD'!$C$5=Reembolsables!$E$3,E14,"No Coincide"))</f>
        <v>305</v>
      </c>
    </row>
    <row r="15" spans="2:8" ht="38.25">
      <c r="B15" s="208" t="s">
        <v>110</v>
      </c>
      <c r="C15" s="209" t="s">
        <v>109</v>
      </c>
      <c r="D15" s="210">
        <v>445</v>
      </c>
      <c r="E15" s="102"/>
      <c r="F15" s="206"/>
      <c r="G15" s="2">
        <v>13</v>
      </c>
      <c r="H15" s="2">
        <f>IF('Inicio MOD'!$C$5=Reembolsables!$D$3,Reembolsables!D15,IF('Inicio MOD'!$C$5=Reembolsables!$E$3,E15,"No Coincide"))</f>
        <v>445</v>
      </c>
    </row>
    <row r="16" spans="2:8">
      <c r="B16" s="206" t="s">
        <v>111</v>
      </c>
      <c r="C16" s="207" t="s">
        <v>105</v>
      </c>
      <c r="D16" s="102"/>
      <c r="E16" s="205">
        <v>100</v>
      </c>
      <c r="F16" s="206"/>
      <c r="G16" s="2">
        <v>14</v>
      </c>
      <c r="H16" s="2">
        <f>IF('Inicio MOD'!$C$5=Reembolsables!$D$3,Reembolsables!D16,IF('Inicio MOD'!$C$5=Reembolsables!$E$3,E16,"No Coincide"))</f>
        <v>0</v>
      </c>
    </row>
    <row r="17" spans="2:8">
      <c r="B17" s="206" t="s">
        <v>112</v>
      </c>
      <c r="C17" s="207" t="s">
        <v>105</v>
      </c>
      <c r="D17" s="102"/>
      <c r="E17" s="205">
        <v>50</v>
      </c>
      <c r="F17" s="206"/>
      <c r="G17" s="2">
        <v>15</v>
      </c>
      <c r="H17" s="2">
        <f>IF('Inicio MOD'!$C$5=Reembolsables!$D$3,Reembolsables!D17,IF('Inicio MOD'!$C$5=Reembolsables!$E$3,E17,"No Coincide"))</f>
        <v>0</v>
      </c>
    </row>
    <row r="18" spans="2:8" ht="25.5">
      <c r="B18" s="206" t="s">
        <v>113</v>
      </c>
      <c r="C18" s="207" t="s">
        <v>114</v>
      </c>
      <c r="D18" s="205">
        <v>3200</v>
      </c>
      <c r="E18" s="205">
        <v>3200</v>
      </c>
      <c r="F18" s="206"/>
      <c r="G18" s="2">
        <v>16</v>
      </c>
      <c r="H18" s="2">
        <f>IF('Inicio MOD'!$C$5=Reembolsables!$D$3,Reembolsables!D18,IF('Inicio MOD'!$C$5=Reembolsables!$E$3,E18,"No Coincide"))</f>
        <v>3200</v>
      </c>
    </row>
    <row r="19" spans="2:8">
      <c r="B19" s="206" t="s">
        <v>115</v>
      </c>
      <c r="C19" s="207" t="s">
        <v>105</v>
      </c>
      <c r="D19" s="102"/>
      <c r="E19" s="205">
        <v>100</v>
      </c>
      <c r="F19" s="206"/>
      <c r="G19" s="2">
        <v>17</v>
      </c>
      <c r="H19" s="2">
        <f>IF('Inicio MOD'!$C$5=Reembolsables!$D$3,Reembolsables!D19,IF('Inicio MOD'!$C$5=Reembolsables!$E$3,E19,"No Coincide"))</f>
        <v>0</v>
      </c>
    </row>
    <row r="20" spans="2:8">
      <c r="B20" s="206" t="s">
        <v>116</v>
      </c>
      <c r="C20" s="207" t="s">
        <v>105</v>
      </c>
      <c r="D20" s="102"/>
      <c r="E20" s="205">
        <v>50</v>
      </c>
      <c r="F20" s="206"/>
      <c r="G20" s="2">
        <v>18</v>
      </c>
      <c r="H20" s="2">
        <f>IF('Inicio MOD'!$C$5=Reembolsables!$D$3,Reembolsables!D20,IF('Inicio MOD'!$C$5=Reembolsables!$E$3,E20,"No Coincide"))</f>
        <v>0</v>
      </c>
    </row>
    <row r="21" spans="2:8">
      <c r="B21" s="208" t="s">
        <v>117</v>
      </c>
      <c r="C21" s="209" t="s">
        <v>114</v>
      </c>
      <c r="D21" s="210">
        <v>180</v>
      </c>
      <c r="E21" s="210">
        <v>180</v>
      </c>
      <c r="F21" s="206"/>
      <c r="G21" s="2">
        <v>19</v>
      </c>
      <c r="H21" s="2">
        <f>IF('Inicio MOD'!$C$5=Reembolsables!$D$3,Reembolsables!D21,IF('Inicio MOD'!$C$5=Reembolsables!$E$3,E21,"No Coincide"))</f>
        <v>180</v>
      </c>
    </row>
    <row r="22" spans="2:8" ht="25.5">
      <c r="B22" s="208" t="s">
        <v>118</v>
      </c>
      <c r="C22" s="209" t="s">
        <v>109</v>
      </c>
      <c r="D22" s="210">
        <v>120</v>
      </c>
      <c r="E22" s="102"/>
      <c r="F22" s="206"/>
      <c r="G22" s="2">
        <v>20</v>
      </c>
      <c r="H22" s="2">
        <f>IF('Inicio MOD'!$C$5=Reembolsables!$D$3,Reembolsables!D22,IF('Inicio MOD'!$C$5=Reembolsables!$E$3,E22,"No Coincide"))</f>
        <v>120</v>
      </c>
    </row>
    <row r="23" spans="2:8">
      <c r="B23" s="206" t="s">
        <v>119</v>
      </c>
      <c r="C23" s="207" t="s">
        <v>105</v>
      </c>
      <c r="D23" s="102"/>
      <c r="E23" s="205">
        <v>75</v>
      </c>
      <c r="F23" s="206"/>
      <c r="G23" s="2">
        <v>21</v>
      </c>
      <c r="H23" s="2">
        <f>IF('Inicio MOD'!$C$5=Reembolsables!$D$3,Reembolsables!D23,IF('Inicio MOD'!$C$5=Reembolsables!$E$3,E23,"No Coincide"))</f>
        <v>0</v>
      </c>
    </row>
    <row r="24" spans="2:8">
      <c r="B24" s="206" t="s">
        <v>120</v>
      </c>
      <c r="C24" s="207" t="s">
        <v>105</v>
      </c>
      <c r="D24" s="102"/>
      <c r="E24" s="205">
        <v>65</v>
      </c>
      <c r="F24" s="206"/>
      <c r="G24" s="2">
        <v>22</v>
      </c>
      <c r="H24" s="2">
        <f>IF('Inicio MOD'!$C$5=Reembolsables!$D$3,Reembolsables!D24,IF('Inicio MOD'!$C$5=Reembolsables!$E$3,E24,"No Coincide"))</f>
        <v>0</v>
      </c>
    </row>
    <row r="25" spans="2:8">
      <c r="B25" s="208" t="s">
        <v>121</v>
      </c>
      <c r="C25" s="209" t="s">
        <v>114</v>
      </c>
      <c r="D25" s="210">
        <v>250</v>
      </c>
      <c r="E25" s="102"/>
      <c r="F25" s="206"/>
      <c r="G25" s="2">
        <v>23</v>
      </c>
      <c r="H25" s="2">
        <f>IF('Inicio MOD'!$C$5=Reembolsables!$D$3,Reembolsables!D25,IF('Inicio MOD'!$C$5=Reembolsables!$E$3,E25,"No Coincide"))</f>
        <v>250</v>
      </c>
    </row>
    <row r="26" spans="2:8">
      <c r="B26" s="208" t="s">
        <v>122</v>
      </c>
      <c r="C26" s="209" t="s">
        <v>114</v>
      </c>
      <c r="D26" s="210">
        <v>6000</v>
      </c>
      <c r="E26" s="205">
        <v>2000</v>
      </c>
      <c r="F26" s="206"/>
      <c r="G26" s="2">
        <v>24</v>
      </c>
      <c r="H26" s="2">
        <f>IF('Inicio MOD'!$C$5=Reembolsables!$D$3,Reembolsables!D26,IF('Inicio MOD'!$C$5=Reembolsables!$E$3,E26,"No Coincide"))</f>
        <v>6000</v>
      </c>
    </row>
    <row r="27" spans="2:8">
      <c r="B27" s="208" t="s">
        <v>123</v>
      </c>
      <c r="C27" s="209" t="s">
        <v>100</v>
      </c>
      <c r="D27" s="210">
        <v>400</v>
      </c>
      <c r="E27" s="210">
        <v>400</v>
      </c>
      <c r="F27" s="206"/>
      <c r="G27" s="2">
        <v>25</v>
      </c>
      <c r="H27" s="2">
        <f>IF('Inicio MOD'!$C$5=Reembolsables!$D$3,Reembolsables!D27,IF('Inicio MOD'!$C$5=Reembolsables!$E$3,E27,"No Coincide"))</f>
        <v>400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>
    <tabColor theme="6" tint="0.59999389629810485"/>
  </sheetPr>
  <dimension ref="A1:AD53"/>
  <sheetViews>
    <sheetView showGridLines="0" workbookViewId="0">
      <selection activeCell="F19" sqref="F19"/>
    </sheetView>
  </sheetViews>
  <sheetFormatPr defaultColWidth="11.42578125" defaultRowHeight="15"/>
  <cols>
    <col min="2" max="2" width="20.85546875" customWidth="1"/>
    <col min="3" max="3" width="16" customWidth="1"/>
    <col min="4" max="5" width="16.7109375" customWidth="1"/>
    <col min="6" max="6" width="16.42578125" customWidth="1"/>
    <col min="7" max="7" width="12.42578125" customWidth="1"/>
    <col min="8" max="8" width="10.7109375" customWidth="1"/>
    <col min="9" max="9" width="15.85546875" customWidth="1"/>
    <col min="10" max="10" width="11.28515625" customWidth="1"/>
    <col min="11" max="11" width="2.85546875" customWidth="1"/>
    <col min="12" max="12" width="3.85546875" customWidth="1"/>
    <col min="13" max="13" width="13.85546875" style="3" customWidth="1"/>
    <col min="14" max="14" width="15.7109375" style="3" customWidth="1"/>
    <col min="15" max="15" width="15" style="3" customWidth="1"/>
    <col min="16" max="16" width="16.85546875" style="3" customWidth="1"/>
    <col min="17" max="17" width="4.7109375" customWidth="1"/>
    <col min="18" max="18" width="5.28515625" customWidth="1"/>
    <col min="19" max="19" width="18.85546875" customWidth="1"/>
    <col min="20" max="20" width="20" customWidth="1"/>
    <col min="21" max="21" width="15.85546875" customWidth="1"/>
    <col min="22" max="22" width="20.140625" customWidth="1"/>
  </cols>
  <sheetData>
    <row r="1" spans="2:30">
      <c r="B1" s="22"/>
      <c r="C1" s="22"/>
      <c r="D1" s="14"/>
      <c r="E1" s="14"/>
      <c r="F1" s="14"/>
      <c r="G1" s="14"/>
      <c r="H1" s="14"/>
      <c r="I1" s="14"/>
      <c r="J1" s="14"/>
      <c r="K1" s="14"/>
      <c r="L1" s="14"/>
      <c r="M1" s="15"/>
      <c r="N1" s="15"/>
      <c r="O1" s="15"/>
      <c r="P1" s="15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</row>
    <row r="2" spans="2:30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5"/>
      <c r="N2" s="15"/>
      <c r="O2" s="15"/>
      <c r="P2" s="15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</row>
    <row r="3" spans="2:30">
      <c r="B3" s="294" t="s">
        <v>124</v>
      </c>
      <c r="C3" s="294"/>
      <c r="D3" s="294"/>
      <c r="E3" s="294"/>
      <c r="F3" s="294"/>
      <c r="G3" s="14"/>
      <c r="H3" s="23" t="s">
        <v>125</v>
      </c>
      <c r="I3" s="23"/>
      <c r="J3" s="23"/>
      <c r="K3" s="23"/>
      <c r="L3" s="23"/>
      <c r="M3" s="294" t="s">
        <v>126</v>
      </c>
      <c r="N3" s="294"/>
      <c r="O3" s="294"/>
      <c r="P3" s="294"/>
      <c r="Q3" s="14"/>
      <c r="R3" s="14"/>
      <c r="S3" s="23" t="s">
        <v>127</v>
      </c>
      <c r="T3" s="25"/>
      <c r="U3" s="25"/>
      <c r="V3" s="14"/>
      <c r="W3" s="14"/>
      <c r="X3" s="14"/>
      <c r="Y3" s="14"/>
      <c r="Z3" s="14"/>
      <c r="AA3" s="14"/>
      <c r="AB3" s="14"/>
      <c r="AC3" s="14"/>
      <c r="AD3" s="14"/>
    </row>
    <row r="4" spans="2:30" ht="15.75" thickBot="1">
      <c r="B4" s="295" t="s">
        <v>128</v>
      </c>
      <c r="C4" s="295"/>
      <c r="D4" s="295"/>
      <c r="E4" s="295"/>
      <c r="F4" s="295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</row>
    <row r="5" spans="2:30" ht="15.75" thickBot="1">
      <c r="B5" s="19" t="s">
        <v>51</v>
      </c>
      <c r="C5" s="20" t="s">
        <v>129</v>
      </c>
      <c r="D5" s="21" t="s">
        <v>130</v>
      </c>
      <c r="E5" s="21" t="s">
        <v>131</v>
      </c>
      <c r="F5" s="21" t="s">
        <v>132</v>
      </c>
      <c r="G5" s="20" t="s">
        <v>133</v>
      </c>
      <c r="H5" s="19" t="s">
        <v>51</v>
      </c>
      <c r="I5" s="20" t="s">
        <v>134</v>
      </c>
      <c r="J5" s="21" t="s">
        <v>85</v>
      </c>
      <c r="K5" s="14"/>
      <c r="L5" s="14"/>
      <c r="M5" s="19" t="s">
        <v>51</v>
      </c>
      <c r="N5" s="20" t="s">
        <v>134</v>
      </c>
      <c r="O5" s="20" t="s">
        <v>135</v>
      </c>
      <c r="Q5" s="14"/>
      <c r="R5" s="14"/>
      <c r="S5" s="19" t="s">
        <v>136</v>
      </c>
      <c r="T5" s="20" t="s">
        <v>86</v>
      </c>
      <c r="U5" s="20" t="s">
        <v>87</v>
      </c>
      <c r="V5" s="21" t="s">
        <v>137</v>
      </c>
      <c r="W5" s="14"/>
      <c r="X5" s="14"/>
      <c r="Y5" s="14"/>
      <c r="Z5" s="14"/>
      <c r="AA5" s="14"/>
      <c r="AB5" s="14"/>
      <c r="AC5" s="14"/>
      <c r="AD5" s="14"/>
    </row>
    <row r="6" spans="2:30">
      <c r="B6" s="18">
        <v>1</v>
      </c>
      <c r="C6" s="18" t="s">
        <v>86</v>
      </c>
      <c r="D6" s="18" t="s">
        <v>138</v>
      </c>
      <c r="E6" s="18" t="s">
        <v>139</v>
      </c>
      <c r="F6" s="18" t="s">
        <v>140</v>
      </c>
      <c r="G6" s="18" t="s">
        <v>141</v>
      </c>
      <c r="H6" s="18">
        <v>1</v>
      </c>
      <c r="I6" s="17" t="s">
        <v>142</v>
      </c>
      <c r="J6" s="17" t="s">
        <v>143</v>
      </c>
      <c r="K6" s="14"/>
      <c r="L6" s="14"/>
      <c r="M6" s="15"/>
      <c r="N6" s="15"/>
      <c r="O6" s="15"/>
      <c r="P6" s="15"/>
      <c r="Q6" s="14"/>
      <c r="R6" s="14"/>
      <c r="S6" s="75" t="s">
        <v>144</v>
      </c>
      <c r="T6" s="18">
        <v>8</v>
      </c>
      <c r="U6" s="18">
        <v>7</v>
      </c>
      <c r="V6" s="18">
        <v>8</v>
      </c>
      <c r="W6" s="14"/>
      <c r="X6" s="14"/>
      <c r="Y6" s="14"/>
      <c r="Z6" s="14"/>
      <c r="AA6" s="14"/>
      <c r="AB6" s="14"/>
      <c r="AC6" s="14"/>
      <c r="AD6" s="14"/>
    </row>
    <row r="7" spans="2:30">
      <c r="B7" s="16">
        <v>2</v>
      </c>
      <c r="C7" s="16" t="s">
        <v>87</v>
      </c>
      <c r="D7" s="16" t="s">
        <v>145</v>
      </c>
      <c r="E7" s="16" t="s">
        <v>146</v>
      </c>
      <c r="F7" s="16" t="s">
        <v>139</v>
      </c>
      <c r="G7" s="18" t="s">
        <v>147</v>
      </c>
      <c r="H7" s="16">
        <v>2</v>
      </c>
      <c r="I7" s="17" t="s">
        <v>148</v>
      </c>
      <c r="J7" s="17" t="s">
        <v>149</v>
      </c>
      <c r="K7" s="14"/>
      <c r="L7" s="14"/>
      <c r="M7" s="15"/>
      <c r="N7" s="15"/>
      <c r="O7" s="15"/>
      <c r="P7" s="15"/>
      <c r="Q7" s="14"/>
      <c r="R7" s="14"/>
      <c r="S7" s="76" t="s">
        <v>18</v>
      </c>
      <c r="T7" s="16">
        <v>8</v>
      </c>
      <c r="U7" s="16">
        <v>8</v>
      </c>
      <c r="V7" s="16">
        <v>8</v>
      </c>
      <c r="W7" s="14"/>
      <c r="X7" s="14"/>
      <c r="Y7" s="14"/>
      <c r="Z7" s="14"/>
      <c r="AA7" s="14"/>
      <c r="AB7" s="14"/>
      <c r="AC7" s="14"/>
      <c r="AD7" s="14"/>
    </row>
    <row r="8" spans="2:30">
      <c r="B8" s="16">
        <v>3</v>
      </c>
      <c r="C8" s="16" t="s">
        <v>137</v>
      </c>
      <c r="D8" s="16" t="s">
        <v>150</v>
      </c>
      <c r="E8" s="16" t="s">
        <v>151</v>
      </c>
      <c r="F8" s="16" t="s">
        <v>152</v>
      </c>
      <c r="G8" s="18" t="s">
        <v>153</v>
      </c>
      <c r="H8" s="16">
        <v>3</v>
      </c>
      <c r="I8" s="17" t="s">
        <v>154</v>
      </c>
      <c r="J8" s="17" t="s">
        <v>149</v>
      </c>
      <c r="K8" s="14"/>
      <c r="L8" s="14"/>
      <c r="M8" s="15"/>
      <c r="N8" s="15"/>
      <c r="O8" s="15"/>
      <c r="P8" s="15"/>
      <c r="Q8" s="14"/>
      <c r="R8" s="14"/>
      <c r="S8" s="76" t="s">
        <v>155</v>
      </c>
      <c r="T8" s="16">
        <v>8</v>
      </c>
      <c r="U8" s="16">
        <v>8</v>
      </c>
      <c r="V8" s="16">
        <v>8</v>
      </c>
      <c r="W8" s="14"/>
      <c r="X8" s="14"/>
      <c r="Y8" s="14"/>
      <c r="Z8" s="14"/>
      <c r="AA8" s="14"/>
      <c r="AB8" s="14"/>
      <c r="AC8" s="14"/>
      <c r="AD8" s="14"/>
    </row>
    <row r="9" spans="2:30">
      <c r="B9" s="14"/>
      <c r="C9" s="14"/>
      <c r="D9" s="14"/>
      <c r="E9" s="14"/>
      <c r="F9" s="14"/>
      <c r="G9" s="14"/>
      <c r="H9" s="16">
        <v>4</v>
      </c>
      <c r="I9" s="17" t="s">
        <v>75</v>
      </c>
      <c r="J9" s="17" t="s">
        <v>149</v>
      </c>
      <c r="K9" s="14"/>
      <c r="L9" s="14"/>
      <c r="M9" s="15"/>
      <c r="N9" s="15"/>
      <c r="O9" s="15"/>
      <c r="P9" s="15"/>
      <c r="Q9" s="14"/>
      <c r="R9" s="14"/>
      <c r="S9" s="76" t="s">
        <v>11</v>
      </c>
      <c r="T9" s="16">
        <v>4</v>
      </c>
      <c r="U9" s="16">
        <v>3</v>
      </c>
      <c r="V9" s="16">
        <v>4</v>
      </c>
      <c r="W9" s="14"/>
      <c r="X9" s="14"/>
      <c r="Y9" s="14"/>
      <c r="Z9" s="14"/>
      <c r="AA9" s="14"/>
      <c r="AB9" s="14"/>
      <c r="AC9" s="14"/>
      <c r="AD9" s="14"/>
    </row>
    <row r="10" spans="2:30">
      <c r="B10" s="14"/>
      <c r="C10" s="14"/>
      <c r="D10" s="14"/>
      <c r="E10" s="14"/>
      <c r="F10" s="14"/>
      <c r="G10" s="14"/>
      <c r="H10" s="18">
        <v>5</v>
      </c>
      <c r="I10" s="17" t="s">
        <v>156</v>
      </c>
      <c r="J10" s="17" t="s">
        <v>149</v>
      </c>
      <c r="K10" s="14"/>
      <c r="L10" s="14"/>
      <c r="M10" s="15"/>
      <c r="N10" s="15"/>
      <c r="O10" s="15"/>
      <c r="P10" s="15"/>
      <c r="Q10" s="14"/>
      <c r="R10" s="14"/>
      <c r="S10" s="76" t="s">
        <v>21</v>
      </c>
      <c r="T10" s="16">
        <v>10</v>
      </c>
      <c r="U10" s="16">
        <v>12</v>
      </c>
      <c r="V10" s="16">
        <v>10</v>
      </c>
      <c r="W10" s="14"/>
      <c r="X10" s="14"/>
      <c r="Y10" s="14"/>
      <c r="Z10" s="14"/>
      <c r="AA10" s="14"/>
      <c r="AB10" s="14"/>
      <c r="AC10" s="14"/>
      <c r="AD10" s="14"/>
    </row>
    <row r="11" spans="2:30">
      <c r="B11" s="14"/>
      <c r="C11" s="14"/>
      <c r="D11" s="14"/>
      <c r="E11" s="14"/>
      <c r="F11" s="14"/>
      <c r="G11" s="14"/>
      <c r="H11" s="16">
        <v>6</v>
      </c>
      <c r="I11" s="17" t="s">
        <v>157</v>
      </c>
      <c r="J11" s="17" t="s">
        <v>149</v>
      </c>
      <c r="K11" s="14"/>
      <c r="L11" s="14"/>
      <c r="M11" s="15"/>
      <c r="N11" s="15"/>
      <c r="O11" s="15"/>
      <c r="P11" s="15"/>
      <c r="Q11" s="14"/>
      <c r="R11" s="14"/>
      <c r="S11" s="76" t="s">
        <v>158</v>
      </c>
      <c r="T11" s="16">
        <v>8</v>
      </c>
      <c r="U11" s="16">
        <v>8</v>
      </c>
      <c r="V11" s="16">
        <v>8</v>
      </c>
      <c r="W11" s="14"/>
      <c r="X11" s="14"/>
      <c r="Y11" s="14"/>
      <c r="Z11" s="14"/>
      <c r="AA11" s="14"/>
      <c r="AB11" s="14"/>
      <c r="AC11" s="14"/>
      <c r="AD11" s="14"/>
    </row>
    <row r="12" spans="2:30">
      <c r="B12" s="15"/>
      <c r="C12" s="15"/>
      <c r="D12" s="14"/>
      <c r="E12" s="14"/>
      <c r="F12" s="14"/>
      <c r="G12" s="14"/>
      <c r="K12" s="14"/>
      <c r="L12" s="14"/>
      <c r="M12" s="15"/>
      <c r="N12" s="15"/>
      <c r="O12" s="15"/>
      <c r="P12" s="15"/>
      <c r="Q12" s="14"/>
      <c r="R12" s="14"/>
      <c r="S12" s="76" t="s">
        <v>159</v>
      </c>
      <c r="T12" s="16">
        <v>5</v>
      </c>
      <c r="U12" s="16">
        <v>4</v>
      </c>
      <c r="V12" s="16">
        <v>4</v>
      </c>
      <c r="W12" s="14"/>
      <c r="X12" s="14"/>
      <c r="Y12" s="14"/>
      <c r="Z12" s="14"/>
      <c r="AA12" s="14"/>
      <c r="AB12" s="14"/>
      <c r="AC12" s="14"/>
      <c r="AD12" s="14"/>
    </row>
    <row r="13" spans="2:30">
      <c r="B13" s="15"/>
      <c r="C13" s="15"/>
      <c r="D13" s="14"/>
      <c r="E13" s="14"/>
      <c r="F13" s="14"/>
      <c r="G13" s="14"/>
      <c r="K13" s="14"/>
      <c r="L13" s="14"/>
      <c r="M13" s="15"/>
      <c r="N13" s="15"/>
      <c r="O13" s="15"/>
      <c r="P13" s="15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</row>
    <row r="14" spans="2:30">
      <c r="B14" s="14"/>
      <c r="C14" s="14"/>
      <c r="D14" s="14"/>
      <c r="E14" s="14"/>
      <c r="F14" s="14"/>
      <c r="G14" s="14"/>
      <c r="K14" s="14"/>
      <c r="L14" s="14"/>
      <c r="M14" s="15"/>
      <c r="N14" s="15"/>
      <c r="O14" s="15"/>
      <c r="P14" s="15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</row>
    <row r="15" spans="2:30">
      <c r="G15" s="14"/>
      <c r="K15" s="14"/>
      <c r="L15" s="14"/>
      <c r="M15" s="15"/>
      <c r="N15" s="15"/>
      <c r="O15" s="15"/>
      <c r="P15" s="15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</row>
    <row r="16" spans="2:30" ht="15.75" thickBot="1">
      <c r="B16" s="23" t="s">
        <v>160</v>
      </c>
      <c r="C16" s="23"/>
      <c r="D16" s="23"/>
      <c r="G16" s="14"/>
      <c r="K16" s="14"/>
      <c r="L16" s="14"/>
      <c r="M16" s="15"/>
      <c r="N16" s="15"/>
      <c r="O16" s="15"/>
      <c r="P16" s="15"/>
      <c r="Q16" s="14"/>
      <c r="R16" s="14"/>
      <c r="S16" s="14" t="str">
        <f>'Inicio MOD'!C5</f>
        <v>San Rafael</v>
      </c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</row>
    <row r="17" spans="2:30" ht="15.75" thickBot="1">
      <c r="E17" s="20" t="s">
        <v>133</v>
      </c>
      <c r="F17" s="23"/>
      <c r="I17" s="216" t="s">
        <v>161</v>
      </c>
      <c r="J17" s="217"/>
      <c r="K17" s="14"/>
      <c r="L17" s="14"/>
      <c r="M17" s="15"/>
      <c r="N17" s="15"/>
      <c r="O17" s="15"/>
      <c r="P17" s="15"/>
      <c r="Q17" s="14"/>
      <c r="R17" s="14">
        <v>2</v>
      </c>
      <c r="S17" s="75" t="s">
        <v>144</v>
      </c>
      <c r="T17" s="14">
        <f>IF('Inicio MOD'!$C$5='Datos de entrada MOD'!$T$5,'Datos de entrada MOD'!T6,IF('Inicio MOD'!$C$5='Datos de entrada MOD'!$U$5,'Datos de entrada MOD'!U6,IF('Inicio MOD'!$C$5='Datos de entrada MOD'!$V$5,'Datos de entrada MOD'!V6,"No Coincide")))</f>
        <v>8</v>
      </c>
      <c r="U17" s="14"/>
      <c r="V17" s="14"/>
      <c r="W17" s="14"/>
      <c r="X17" s="14"/>
      <c r="Y17" s="14"/>
      <c r="Z17" s="14"/>
      <c r="AA17" s="14"/>
      <c r="AB17" s="14"/>
      <c r="AC17" s="14"/>
      <c r="AD17" s="14"/>
    </row>
    <row r="18" spans="2:30" ht="15.75" thickBot="1">
      <c r="B18" s="19" t="s">
        <v>162</v>
      </c>
      <c r="C18" s="20" t="s">
        <v>135</v>
      </c>
      <c r="E18" s="18" t="s">
        <v>153</v>
      </c>
      <c r="K18" s="14"/>
      <c r="L18" s="14"/>
      <c r="M18" s="15"/>
      <c r="N18" s="15"/>
      <c r="O18" s="15"/>
      <c r="P18" s="15"/>
      <c r="Q18" s="14"/>
      <c r="R18" s="14">
        <v>3</v>
      </c>
      <c r="S18" s="76" t="s">
        <v>18</v>
      </c>
      <c r="T18" s="14">
        <f>IF('Inicio MOD'!$C$5='Datos de entrada MOD'!$T$5,'Datos de entrada MOD'!T7,IF('Inicio MOD'!$C$5='Datos de entrada MOD'!$U$5,'Datos de entrada MOD'!U7,IF('Inicio MOD'!$C$5='Datos de entrada MOD'!$V$5,'Datos de entrada MOD'!V7,"No Coincide")))</f>
        <v>8</v>
      </c>
      <c r="U18" s="14"/>
      <c r="V18" s="14"/>
      <c r="W18" s="14"/>
      <c r="X18" s="14"/>
      <c r="Y18" s="14"/>
      <c r="Z18" s="14"/>
      <c r="AA18" s="14"/>
      <c r="AB18" s="14"/>
      <c r="AC18" s="14"/>
      <c r="AD18" s="14"/>
    </row>
    <row r="19" spans="2:30">
      <c r="B19" s="18" t="s">
        <v>163</v>
      </c>
      <c r="C19" s="18">
        <v>0</v>
      </c>
      <c r="E19" s="18" t="s">
        <v>141</v>
      </c>
      <c r="I19" s="215" t="s">
        <v>164</v>
      </c>
      <c r="J19" s="205">
        <v>100</v>
      </c>
      <c r="K19" s="14"/>
      <c r="L19" s="14"/>
      <c r="M19" s="15"/>
      <c r="N19" s="15"/>
      <c r="O19" s="15"/>
      <c r="P19" s="15"/>
      <c r="Q19" s="14"/>
      <c r="R19" s="14">
        <v>4</v>
      </c>
      <c r="S19" s="76" t="s">
        <v>155</v>
      </c>
      <c r="T19" s="14">
        <f>IF('Inicio MOD'!$C$5='Datos de entrada MOD'!$T$5,'Datos de entrada MOD'!T8,IF('Inicio MOD'!$C$5='Datos de entrada MOD'!$U$5,'Datos de entrada MOD'!U8,IF('Inicio MOD'!$C$5='Datos de entrada MOD'!$V$5,'Datos de entrada MOD'!V8,"No Coincide")))</f>
        <v>8</v>
      </c>
      <c r="U19" s="14"/>
      <c r="V19" s="14"/>
      <c r="W19" s="14"/>
      <c r="X19" s="14"/>
      <c r="Y19" s="14"/>
      <c r="Z19" s="14"/>
      <c r="AA19" s="14"/>
      <c r="AB19" s="14"/>
      <c r="AC19" s="14"/>
      <c r="AD19" s="14"/>
    </row>
    <row r="20" spans="2:30" ht="25.5">
      <c r="B20" s="18" t="s">
        <v>83</v>
      </c>
      <c r="C20" s="18">
        <v>0.25</v>
      </c>
      <c r="E20" s="18" t="s">
        <v>165</v>
      </c>
      <c r="I20" s="207" t="s">
        <v>166</v>
      </c>
      <c r="J20" s="205">
        <v>100</v>
      </c>
      <c r="K20" s="14"/>
      <c r="L20" s="14"/>
      <c r="M20" s="15"/>
      <c r="N20" s="15"/>
      <c r="O20" s="15"/>
      <c r="P20" s="15"/>
      <c r="Q20" s="14"/>
      <c r="R20" s="14">
        <v>5</v>
      </c>
      <c r="S20" s="76" t="s">
        <v>11</v>
      </c>
      <c r="T20" s="14">
        <f>IF('Inicio MOD'!$C$5='Datos de entrada MOD'!$T$5,'Datos de entrada MOD'!T9,IF('Inicio MOD'!$C$5='Datos de entrada MOD'!$U$5,'Datos de entrada MOD'!U9,IF('Inicio MOD'!$C$5='Datos de entrada MOD'!$V$5,'Datos de entrada MOD'!V9,"No Coincide")))</f>
        <v>4</v>
      </c>
      <c r="U20" s="14"/>
      <c r="V20" s="14"/>
      <c r="W20" s="14"/>
      <c r="X20" s="14"/>
      <c r="Y20" s="14"/>
      <c r="Z20" s="14"/>
      <c r="AA20" s="14"/>
      <c r="AB20" s="14"/>
      <c r="AC20" s="14"/>
      <c r="AD20" s="14"/>
    </row>
    <row r="21" spans="2:30">
      <c r="B21" s="18" t="s">
        <v>167</v>
      </c>
      <c r="C21" s="18">
        <v>0.5</v>
      </c>
      <c r="E21" s="18" t="s">
        <v>147</v>
      </c>
      <c r="I21" s="207" t="s">
        <v>168</v>
      </c>
      <c r="J21" s="205">
        <v>100</v>
      </c>
      <c r="K21" s="14"/>
      <c r="L21" s="14"/>
      <c r="M21" s="15"/>
      <c r="N21" s="15"/>
      <c r="O21" s="15"/>
      <c r="P21" s="15"/>
      <c r="Q21" s="14"/>
      <c r="R21" s="14">
        <v>6</v>
      </c>
      <c r="S21" s="76" t="s">
        <v>21</v>
      </c>
      <c r="T21" s="14">
        <f>IF('Inicio MOD'!$C$5='Datos de entrada MOD'!$T$5,'Datos de entrada MOD'!T10,IF('Inicio MOD'!$C$5='Datos de entrada MOD'!$U$5,'Datos de entrada MOD'!U10,IF('Inicio MOD'!$C$5='Datos de entrada MOD'!$V$5,'Datos de entrada MOD'!V10,"No Coincide")))</f>
        <v>10</v>
      </c>
      <c r="U21" s="14"/>
      <c r="V21" s="14"/>
      <c r="W21" s="14"/>
      <c r="X21" s="14"/>
      <c r="Y21" s="14"/>
      <c r="Z21" s="14"/>
      <c r="AA21" s="14"/>
      <c r="AB21" s="14"/>
      <c r="AC21" s="14"/>
      <c r="AD21" s="14"/>
    </row>
    <row r="22" spans="2:30">
      <c r="B22" s="18" t="s">
        <v>169</v>
      </c>
      <c r="C22" s="18">
        <v>0.75</v>
      </c>
      <c r="D22" s="14"/>
      <c r="I22" s="207" t="s">
        <v>170</v>
      </c>
      <c r="J22" s="205">
        <v>100</v>
      </c>
      <c r="R22" s="14">
        <v>7</v>
      </c>
      <c r="S22" s="76" t="s">
        <v>158</v>
      </c>
      <c r="T22" s="14">
        <f>IF('Inicio MOD'!$C$5='Datos de entrada MOD'!$T$5,'Datos de entrada MOD'!T11,IF('Inicio MOD'!$C$5='Datos de entrada MOD'!$U$5,'Datos de entrada MOD'!U11,IF('Inicio MOD'!$C$5='Datos de entrada MOD'!$V$5,'Datos de entrada MOD'!V11,"No Coincide")))</f>
        <v>8</v>
      </c>
      <c r="U22" s="14"/>
      <c r="V22" s="14"/>
      <c r="W22" s="14"/>
      <c r="X22" s="14"/>
      <c r="Y22" s="14"/>
      <c r="Z22" s="14"/>
      <c r="AA22" s="14"/>
      <c r="AB22" s="14"/>
      <c r="AC22" s="14"/>
      <c r="AD22" s="14"/>
    </row>
    <row r="23" spans="2:30" ht="15.75" thickBot="1">
      <c r="E23" s="14"/>
      <c r="F23" s="14"/>
      <c r="I23" s="207" t="s">
        <v>171</v>
      </c>
      <c r="J23" s="205">
        <v>100</v>
      </c>
      <c r="R23" s="14">
        <v>8</v>
      </c>
      <c r="S23" s="76" t="s">
        <v>172</v>
      </c>
      <c r="T23" s="14">
        <f>IF('Inicio MOD'!$C$5='Datos de entrada MOD'!$T$5,'Datos de entrada MOD'!T12,IF('Inicio MOD'!$C$5='Datos de entrada MOD'!$U$5,'Datos de entrada MOD'!U12,IF('Inicio MOD'!$C$5='Datos de entrada MOD'!$V$5,'Datos de entrada MOD'!V12,"No Coincide")))</f>
        <v>5</v>
      </c>
      <c r="U23" s="14"/>
      <c r="V23" s="14"/>
      <c r="W23" s="14"/>
      <c r="X23" s="14"/>
      <c r="Y23" s="14"/>
      <c r="Z23" s="14"/>
      <c r="AA23" s="14"/>
      <c r="AB23" s="14"/>
      <c r="AC23" s="14"/>
      <c r="AD23" s="14"/>
    </row>
    <row r="24" spans="2:30" ht="15.75" thickBot="1">
      <c r="E24" s="20" t="s">
        <v>173</v>
      </c>
      <c r="F24" s="14"/>
      <c r="I24" s="207" t="s">
        <v>174</v>
      </c>
      <c r="J24" s="205">
        <v>100</v>
      </c>
      <c r="S24" s="27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</row>
    <row r="25" spans="2:30">
      <c r="B25" s="24" t="s">
        <v>175</v>
      </c>
      <c r="C25" s="14"/>
      <c r="D25" s="14"/>
      <c r="E25" s="18" t="s">
        <v>7</v>
      </c>
      <c r="F25" s="14"/>
      <c r="I25" s="207" t="s">
        <v>176</v>
      </c>
      <c r="J25" s="205">
        <v>100</v>
      </c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</row>
    <row r="26" spans="2:30">
      <c r="B26" s="28" t="s">
        <v>177</v>
      </c>
      <c r="C26" s="14"/>
      <c r="D26" s="14"/>
      <c r="E26" s="18" t="s">
        <v>178</v>
      </c>
      <c r="F26" s="14"/>
      <c r="I26" s="207" t="s">
        <v>179</v>
      </c>
      <c r="J26" s="205">
        <v>100</v>
      </c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</row>
    <row r="27" spans="2:30" ht="15.75" thickBot="1">
      <c r="B27" s="28" t="s">
        <v>180</v>
      </c>
      <c r="C27" s="14"/>
      <c r="D27" s="14"/>
      <c r="F27" s="14"/>
      <c r="I27" s="207" t="s">
        <v>181</v>
      </c>
      <c r="J27" s="205">
        <v>100</v>
      </c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</row>
    <row r="28" spans="2:30" ht="15.75" thickBot="1">
      <c r="B28" s="14"/>
      <c r="C28" s="14"/>
      <c r="D28" s="14"/>
      <c r="E28" s="20" t="s">
        <v>182</v>
      </c>
      <c r="F28" s="14"/>
      <c r="G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</row>
    <row r="29" spans="2:30">
      <c r="B29" s="14"/>
      <c r="C29" s="14"/>
      <c r="D29" s="14"/>
      <c r="E29" s="18" t="s">
        <v>183</v>
      </c>
      <c r="F29" s="14"/>
      <c r="G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</row>
    <row r="30" spans="2:30">
      <c r="B30" s="24" t="s">
        <v>184</v>
      </c>
      <c r="C30" s="14"/>
      <c r="D30" s="14"/>
      <c r="E30" s="18" t="s">
        <v>185</v>
      </c>
    </row>
    <row r="31" spans="2:30">
      <c r="B31" s="28" t="s">
        <v>186</v>
      </c>
      <c r="C31" s="14">
        <v>10</v>
      </c>
      <c r="D31" s="14" t="s">
        <v>187</v>
      </c>
    </row>
    <row r="32" spans="2:30">
      <c r="B32" s="28" t="s">
        <v>188</v>
      </c>
      <c r="C32" s="14">
        <v>10</v>
      </c>
      <c r="D32" s="14" t="s">
        <v>187</v>
      </c>
    </row>
    <row r="34" spans="1:11">
      <c r="B34" s="10" t="s">
        <v>189</v>
      </c>
      <c r="J34" t="s">
        <v>190</v>
      </c>
    </row>
    <row r="35" spans="1:11">
      <c r="B35" s="9" t="s">
        <v>191</v>
      </c>
      <c r="J35" s="63" t="s">
        <v>1</v>
      </c>
      <c r="K35" t="s">
        <v>2</v>
      </c>
    </row>
    <row r="36" spans="1:11">
      <c r="I36" s="107"/>
      <c r="J36" s="63" t="s">
        <v>4</v>
      </c>
      <c r="K36" t="s">
        <v>5</v>
      </c>
    </row>
    <row r="37" spans="1:11">
      <c r="B37" s="36" t="s">
        <v>192</v>
      </c>
      <c r="C37" s="1" t="s">
        <v>193</v>
      </c>
      <c r="D37" s="1" t="s">
        <v>148</v>
      </c>
      <c r="E37" s="1" t="s">
        <v>154</v>
      </c>
      <c r="F37" s="1" t="s">
        <v>75</v>
      </c>
      <c r="G37" s="1" t="s">
        <v>194</v>
      </c>
      <c r="H37" s="1" t="s">
        <v>195</v>
      </c>
      <c r="J37" s="63" t="s">
        <v>8</v>
      </c>
      <c r="K37" t="s">
        <v>196</v>
      </c>
    </row>
    <row r="38" spans="1:11">
      <c r="A38" s="109">
        <f>E38</f>
        <v>4</v>
      </c>
      <c r="B38" s="34" t="s">
        <v>197</v>
      </c>
      <c r="C38" s="179">
        <f>C44</f>
        <v>4</v>
      </c>
      <c r="D38" s="179" t="e">
        <f>D44</f>
        <v>#N/A</v>
      </c>
      <c r="E38" s="179">
        <f>IFERROR(E44,C50)</f>
        <v>4</v>
      </c>
      <c r="F38" s="179">
        <f t="shared" ref="F38:H41" si="0">IFERROR(F44,D50)</f>
        <v>1</v>
      </c>
      <c r="G38" s="179" t="e">
        <f t="shared" si="0"/>
        <v>#N/A</v>
      </c>
      <c r="H38" s="179" t="e">
        <f t="shared" si="0"/>
        <v>#N/A</v>
      </c>
      <c r="J38" s="63" t="s">
        <v>11</v>
      </c>
      <c r="K38" t="s">
        <v>12</v>
      </c>
    </row>
    <row r="39" spans="1:11">
      <c r="A39" s="109">
        <f>F38</f>
        <v>1</v>
      </c>
      <c r="B39" s="34" t="s">
        <v>198</v>
      </c>
      <c r="C39" s="131">
        <f t="shared" ref="C39:D41" si="1">C45</f>
        <v>6</v>
      </c>
      <c r="D39" s="131" t="e">
        <f t="shared" si="1"/>
        <v>#N/A</v>
      </c>
      <c r="E39" s="131">
        <f>IFERROR(E45,C51)</f>
        <v>4</v>
      </c>
      <c r="F39" s="131">
        <f t="shared" si="0"/>
        <v>1</v>
      </c>
      <c r="G39" s="131" t="e">
        <f t="shared" si="0"/>
        <v>#N/A</v>
      </c>
      <c r="H39" s="131" t="e">
        <f t="shared" si="0"/>
        <v>#N/A</v>
      </c>
      <c r="J39" s="63" t="s">
        <v>14</v>
      </c>
      <c r="K39" t="s">
        <v>15</v>
      </c>
    </row>
    <row r="40" spans="1:11">
      <c r="B40" s="34" t="s">
        <v>199</v>
      </c>
      <c r="C40" s="131">
        <f t="shared" si="1"/>
        <v>8</v>
      </c>
      <c r="D40" s="131" t="e">
        <f t="shared" si="1"/>
        <v>#N/A</v>
      </c>
      <c r="E40" s="131">
        <f>IFERROR(E46,C52)</f>
        <v>4</v>
      </c>
      <c r="F40" s="131">
        <f t="shared" si="0"/>
        <v>1</v>
      </c>
      <c r="G40" s="131" t="e">
        <f t="shared" si="0"/>
        <v>#N/A</v>
      </c>
      <c r="H40" s="131" t="e">
        <f t="shared" si="0"/>
        <v>#N/A</v>
      </c>
      <c r="J40" s="63" t="s">
        <v>17</v>
      </c>
      <c r="K40" s="6" t="s">
        <v>18</v>
      </c>
    </row>
    <row r="41" spans="1:11">
      <c r="B41" s="35" t="s">
        <v>200</v>
      </c>
      <c r="C41" s="132">
        <f t="shared" si="1"/>
        <v>10</v>
      </c>
      <c r="D41" s="132" t="e">
        <f t="shared" si="1"/>
        <v>#N/A</v>
      </c>
      <c r="E41" s="132">
        <f>IFERROR(E47,C53)</f>
        <v>4</v>
      </c>
      <c r="F41" s="132">
        <f t="shared" si="0"/>
        <v>1</v>
      </c>
      <c r="G41" s="132" t="e">
        <f t="shared" si="0"/>
        <v>#N/A</v>
      </c>
      <c r="H41" s="132" t="e">
        <f t="shared" si="0"/>
        <v>#N/A</v>
      </c>
      <c r="J41" s="63" t="s">
        <v>20</v>
      </c>
      <c r="K41" s="6" t="s">
        <v>21</v>
      </c>
    </row>
    <row r="42" spans="1:11">
      <c r="J42" s="63" t="s">
        <v>201</v>
      </c>
      <c r="K42" s="6" t="s">
        <v>202</v>
      </c>
    </row>
    <row r="43" spans="1:11">
      <c r="B43" s="36" t="s">
        <v>192</v>
      </c>
      <c r="C43" s="1" t="s">
        <v>193</v>
      </c>
      <c r="D43" s="1" t="s">
        <v>148</v>
      </c>
      <c r="E43" s="1" t="s">
        <v>154</v>
      </c>
      <c r="F43" s="1" t="s">
        <v>75</v>
      </c>
      <c r="G43" s="1" t="s">
        <v>194</v>
      </c>
      <c r="H43" s="1" t="s">
        <v>195</v>
      </c>
    </row>
    <row r="44" spans="1:11">
      <c r="B44" s="34" t="s">
        <v>197</v>
      </c>
      <c r="C44" s="131">
        <f>HLOOKUP(C43,'Inicio MOD'!$C$25:$H$29,2,FALSE)</f>
        <v>4</v>
      </c>
      <c r="D44" s="131" t="e">
        <f>HLOOKUP(D43,'Inicio MOD'!$C$25:$H$29,2,FALSE)</f>
        <v>#N/A</v>
      </c>
      <c r="E44" s="131" t="e">
        <f>HLOOKUP(E43,'Inicio MOD'!$C$25:$H$29,2,FALSE)</f>
        <v>#N/A</v>
      </c>
      <c r="F44" s="131" t="e">
        <f>HLOOKUP(F43,'Inicio MOD'!$C$25:$H$29,2,FALSE)</f>
        <v>#N/A</v>
      </c>
      <c r="G44" s="131" t="e">
        <f>HLOOKUP(G43,'Inicio MOD'!$C$25:$H$29,2,FALSE)</f>
        <v>#N/A</v>
      </c>
      <c r="H44" s="131" t="e">
        <f>HLOOKUP(H43,'Inicio MOD'!$C$25:$H$29,2,FALSE)</f>
        <v>#N/A</v>
      </c>
    </row>
    <row r="45" spans="1:11">
      <c r="B45" s="34" t="s">
        <v>198</v>
      </c>
      <c r="C45" s="131">
        <f>HLOOKUP(C43,'Inicio MOD'!$C$25:$H$29,3,FALSE)</f>
        <v>6</v>
      </c>
      <c r="D45" s="131" t="e">
        <f>HLOOKUP(D43,'Inicio MOD'!$C$25:$H$29,3,FALSE)</f>
        <v>#N/A</v>
      </c>
      <c r="E45" s="131" t="e">
        <f t="shared" ref="E45:H47" si="2">E44</f>
        <v>#N/A</v>
      </c>
      <c r="F45" s="131" t="e">
        <f t="shared" si="2"/>
        <v>#N/A</v>
      </c>
      <c r="G45" s="131" t="e">
        <f t="shared" si="2"/>
        <v>#N/A</v>
      </c>
      <c r="H45" s="131" t="e">
        <f t="shared" si="2"/>
        <v>#N/A</v>
      </c>
    </row>
    <row r="46" spans="1:11">
      <c r="B46" s="34" t="s">
        <v>199</v>
      </c>
      <c r="C46" s="131">
        <f>HLOOKUP(C43,'Inicio MOD'!$C$25:$H$29,4,FALSE)</f>
        <v>8</v>
      </c>
      <c r="D46" s="131" t="e">
        <f>HLOOKUP(D43,'Inicio MOD'!$C$25:$H$29,4,FALSE)</f>
        <v>#N/A</v>
      </c>
      <c r="E46" s="131" t="e">
        <f t="shared" si="2"/>
        <v>#N/A</v>
      </c>
      <c r="F46" s="131" t="e">
        <f t="shared" si="2"/>
        <v>#N/A</v>
      </c>
      <c r="G46" s="131" t="e">
        <f t="shared" si="2"/>
        <v>#N/A</v>
      </c>
      <c r="H46" s="131" t="e">
        <f t="shared" si="2"/>
        <v>#N/A</v>
      </c>
    </row>
    <row r="47" spans="1:11">
      <c r="B47" s="35" t="s">
        <v>200</v>
      </c>
      <c r="C47" s="132">
        <f>HLOOKUP(C43,'Inicio MOD'!$C$25:$H$29,5,FALSE)</f>
        <v>10</v>
      </c>
      <c r="D47" s="132" t="e">
        <f>HLOOKUP(D43,'Inicio MOD'!$C$25:$H$29,5,FALSE)</f>
        <v>#N/A</v>
      </c>
      <c r="E47" s="132" t="e">
        <f t="shared" si="2"/>
        <v>#N/A</v>
      </c>
      <c r="F47" s="132" t="e">
        <f t="shared" si="2"/>
        <v>#N/A</v>
      </c>
      <c r="G47" s="132" t="e">
        <f t="shared" si="2"/>
        <v>#N/A</v>
      </c>
      <c r="H47" s="132" t="e">
        <f t="shared" si="2"/>
        <v>#N/A</v>
      </c>
    </row>
    <row r="49" spans="2:6">
      <c r="B49" s="36" t="s">
        <v>192</v>
      </c>
      <c r="C49" s="1" t="s">
        <v>154</v>
      </c>
      <c r="D49" s="1" t="s">
        <v>75</v>
      </c>
      <c r="E49" s="1" t="s">
        <v>194</v>
      </c>
      <c r="F49" s="1" t="s">
        <v>195</v>
      </c>
    </row>
    <row r="50" spans="2:6">
      <c r="B50" s="34" t="s">
        <v>197</v>
      </c>
      <c r="C50" s="131">
        <f>HLOOKUP(C49,'Inicio MOD'!$C$31:$F$32,2,FALSE)</f>
        <v>4</v>
      </c>
      <c r="D50" s="131">
        <f>HLOOKUP(D49,'Inicio MOD'!$C$31:$F$32,2,FALSE)</f>
        <v>1</v>
      </c>
      <c r="E50" s="131" t="e">
        <f>HLOOKUP(E49,'Inicio MOD'!$C$31:$F$32,2,FALSE)</f>
        <v>#N/A</v>
      </c>
      <c r="F50" s="131" t="e">
        <f>HLOOKUP(F49,'Inicio MOD'!$C$31:$F$32,2,FALSE)</f>
        <v>#N/A</v>
      </c>
    </row>
    <row r="51" spans="2:6">
      <c r="B51" s="34" t="s">
        <v>198</v>
      </c>
      <c r="C51" s="131">
        <f>C50</f>
        <v>4</v>
      </c>
      <c r="D51" s="131">
        <f t="shared" ref="D51:F53" si="3">D50</f>
        <v>1</v>
      </c>
      <c r="E51" s="131" t="e">
        <f t="shared" si="3"/>
        <v>#N/A</v>
      </c>
      <c r="F51" s="131" t="e">
        <f t="shared" si="3"/>
        <v>#N/A</v>
      </c>
    </row>
    <row r="52" spans="2:6">
      <c r="B52" s="34" t="s">
        <v>199</v>
      </c>
      <c r="C52" s="131">
        <f>C51</f>
        <v>4</v>
      </c>
      <c r="D52" s="131">
        <f t="shared" si="3"/>
        <v>1</v>
      </c>
      <c r="E52" s="131" t="e">
        <f t="shared" si="3"/>
        <v>#N/A</v>
      </c>
      <c r="F52" s="131" t="e">
        <f t="shared" si="3"/>
        <v>#N/A</v>
      </c>
    </row>
    <row r="53" spans="2:6">
      <c r="B53" s="35" t="s">
        <v>200</v>
      </c>
      <c r="C53" s="132">
        <f>C52</f>
        <v>4</v>
      </c>
      <c r="D53" s="132">
        <f t="shared" si="3"/>
        <v>1</v>
      </c>
      <c r="E53" s="132" t="e">
        <f t="shared" si="3"/>
        <v>#N/A</v>
      </c>
      <c r="F53" s="132" t="e">
        <f t="shared" si="3"/>
        <v>#N/A</v>
      </c>
    </row>
  </sheetData>
  <mergeCells count="3">
    <mergeCell ref="B3:F3"/>
    <mergeCell ref="M3:P3"/>
    <mergeCell ref="B4:F4"/>
  </mergeCells>
  <conditionalFormatting sqref="J35:J42">
    <cfRule type="cellIs" dxfId="94" priority="5" operator="equal">
      <formula>""""""</formula>
    </cfRule>
    <cfRule type="cellIs" dxfId="93" priority="6" operator="equal">
      <formula>"H"</formula>
    </cfRule>
    <cfRule type="cellIs" dxfId="92" priority="7" operator="equal">
      <formula>"H"</formula>
    </cfRule>
    <cfRule type="cellIs" dxfId="91" priority="8" operator="equal">
      <formula>"I"</formula>
    </cfRule>
    <cfRule type="cellIs" dxfId="90" priority="9" operator="equal">
      <formula>"D"</formula>
    </cfRule>
    <cfRule type="cellIs" dxfId="89" priority="10" operator="equal">
      <formula>"EM"</formula>
    </cfRule>
  </conditionalFormatting>
  <conditionalFormatting sqref="J35:J42">
    <cfRule type="cellIs" dxfId="88" priority="1" operator="equal">
      <formula>"S"</formula>
    </cfRule>
    <cfRule type="cellIs" dxfId="87" priority="2" operator="equal">
      <formula>"C"</formula>
    </cfRule>
    <cfRule type="cellIs" dxfId="86" priority="3" operator="equal">
      <formula>"DS"</formula>
    </cfRule>
    <cfRule type="cellIs" dxfId="85" priority="4" operator="equal">
      <formula>"V"</formula>
    </cfRule>
    <cfRule type="cellIs" dxfId="84" priority="11" operator="equal">
      <formula>"X"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6" tint="0.59999389629810485"/>
  </sheetPr>
  <dimension ref="B2:Q105"/>
  <sheetViews>
    <sheetView topLeftCell="A46" zoomScale="85" zoomScaleNormal="85" workbookViewId="0">
      <selection activeCell="D32" sqref="D32"/>
    </sheetView>
  </sheetViews>
  <sheetFormatPr defaultColWidth="11.42578125" defaultRowHeight="15"/>
  <cols>
    <col min="4" max="4" width="16.7109375" customWidth="1"/>
    <col min="5" max="5" width="22.7109375" customWidth="1"/>
    <col min="6" max="6" width="22.28515625" customWidth="1"/>
    <col min="7" max="7" width="20.85546875" customWidth="1"/>
    <col min="8" max="8" width="13.7109375" customWidth="1"/>
    <col min="9" max="9" width="23" customWidth="1"/>
    <col min="10" max="10" width="21.140625" customWidth="1"/>
    <col min="11" max="12" width="19" customWidth="1"/>
    <col min="13" max="13" width="20.28515625" customWidth="1"/>
  </cols>
  <sheetData>
    <row r="2" spans="2:17" ht="15.75">
      <c r="B2" s="278" t="s">
        <v>45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</row>
    <row r="3" spans="2:17" ht="16.5" thickBot="1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7" ht="16.5" thickBot="1">
      <c r="B4" s="4"/>
      <c r="C4" s="4"/>
      <c r="D4" s="300" t="s">
        <v>49</v>
      </c>
      <c r="E4" s="301"/>
      <c r="F4" s="95">
        <f>IF('Inicio MOD'!C21="Un turno",1,2)</f>
        <v>2</v>
      </c>
      <c r="G4" s="4"/>
      <c r="H4" s="300" t="s">
        <v>50</v>
      </c>
      <c r="I4" s="301"/>
      <c r="J4" s="95">
        <f>IF('Inicio MOD'!$F$13=0,1,'Inicio MOD'!$F$13)</f>
        <v>2</v>
      </c>
      <c r="K4" s="4"/>
      <c r="L4" s="4"/>
      <c r="M4" s="4"/>
    </row>
    <row r="5" spans="2:17" ht="15.75">
      <c r="B5" s="2"/>
      <c r="C5" s="2"/>
      <c r="D5" s="4"/>
      <c r="E5" s="4"/>
      <c r="F5" s="4"/>
      <c r="G5" s="4"/>
      <c r="H5" s="4"/>
      <c r="I5" s="4"/>
      <c r="J5" s="4"/>
      <c r="K5" s="4"/>
      <c r="L5" s="4"/>
      <c r="M5" s="4"/>
    </row>
    <row r="6" spans="2:17" ht="50.1" customHeight="1">
      <c r="B6" s="296" t="s">
        <v>51</v>
      </c>
      <c r="C6" s="298" t="s">
        <v>52</v>
      </c>
      <c r="D6" s="197" t="s">
        <v>203</v>
      </c>
      <c r="E6" s="197" t="s">
        <v>204</v>
      </c>
      <c r="F6" s="197" t="s">
        <v>205</v>
      </c>
      <c r="G6" s="197" t="s">
        <v>206</v>
      </c>
      <c r="H6" s="298" t="s">
        <v>53</v>
      </c>
      <c r="I6" s="218" t="s">
        <v>54</v>
      </c>
      <c r="J6" s="219"/>
      <c r="K6" s="219"/>
      <c r="L6" s="219"/>
      <c r="M6" s="302" t="s">
        <v>207</v>
      </c>
      <c r="N6" s="302"/>
      <c r="O6" s="302"/>
      <c r="P6" s="303"/>
      <c r="Q6" s="121" t="s">
        <v>56</v>
      </c>
    </row>
    <row r="7" spans="2:17" ht="50.1" customHeight="1">
      <c r="B7" s="297"/>
      <c r="C7" s="299"/>
      <c r="D7" s="196"/>
      <c r="E7" s="200" t="s">
        <v>208</v>
      </c>
      <c r="F7" s="200"/>
      <c r="G7" s="200"/>
      <c r="H7" s="299"/>
      <c r="I7" s="120" t="s">
        <v>57</v>
      </c>
      <c r="J7" s="120" t="s">
        <v>58</v>
      </c>
      <c r="K7" s="120" t="s">
        <v>59</v>
      </c>
      <c r="L7" s="120" t="s">
        <v>60</v>
      </c>
      <c r="M7" s="122" t="s">
        <v>209</v>
      </c>
      <c r="N7" s="122" t="s">
        <v>210</v>
      </c>
      <c r="O7" s="122" t="s">
        <v>211</v>
      </c>
      <c r="P7" s="122" t="s">
        <v>212</v>
      </c>
      <c r="Q7" s="120" t="str">
        <f>+CONCATENATE(J4," ","máquinas")</f>
        <v>2 máquinas</v>
      </c>
    </row>
    <row r="8" spans="2:17">
      <c r="B8" s="140">
        <v>1</v>
      </c>
      <c r="C8" s="140" t="str">
        <f>'Inicio MOD'!$E$13&amp;"-"&amp;B8</f>
        <v>BHSR B4 KP23 -1</v>
      </c>
      <c r="D8" s="135"/>
      <c r="E8" s="135"/>
      <c r="F8" s="135">
        <v>0.5</v>
      </c>
      <c r="G8" s="135">
        <v>0.5</v>
      </c>
      <c r="H8" s="135"/>
      <c r="I8" s="135"/>
      <c r="J8" s="135"/>
      <c r="K8" s="135"/>
      <c r="L8" s="140">
        <f>H8-I8-J8-K8</f>
        <v>0</v>
      </c>
      <c r="M8" s="140">
        <f>'Datos de entrada MOD'!$C$39*F4</f>
        <v>12</v>
      </c>
      <c r="N8" s="140">
        <f>'Datos de entrada MOD'!$C$40*F4</f>
        <v>16</v>
      </c>
      <c r="O8" s="140">
        <f>'Datos de entrada MOD'!$C$38*F4</f>
        <v>8</v>
      </c>
      <c r="P8" s="140">
        <f>'Datos de entrada MOD'!$C$41*F4</f>
        <v>20</v>
      </c>
      <c r="Q8" s="140">
        <f>ROUNDUP($I8/$M8+$J8/$N8+$K8/$O8+$L8/$P8+E8+F8+G8,0)</f>
        <v>1</v>
      </c>
    </row>
    <row r="9" spans="2:17">
      <c r="B9" s="140">
        <f>B8+1</f>
        <v>2</v>
      </c>
      <c r="C9" s="140" t="str">
        <f>'Inicio MOD'!$E$13&amp;"-"&amp;B9</f>
        <v>BHSR B4 KP23 -2</v>
      </c>
      <c r="D9" s="135"/>
      <c r="E9" s="135"/>
      <c r="F9" s="135">
        <f>F8</f>
        <v>0.5</v>
      </c>
      <c r="G9" s="135">
        <f>G8</f>
        <v>0.5</v>
      </c>
      <c r="H9" s="135"/>
      <c r="I9" s="135"/>
      <c r="J9" s="135"/>
      <c r="K9" s="135"/>
      <c r="L9" s="140">
        <f>H9-I9-J9-K9</f>
        <v>0</v>
      </c>
      <c r="M9" s="140">
        <f>M8</f>
        <v>12</v>
      </c>
      <c r="N9" s="140">
        <f>N8</f>
        <v>16</v>
      </c>
      <c r="O9" s="140">
        <f>O8</f>
        <v>8</v>
      </c>
      <c r="P9" s="140">
        <f>P8</f>
        <v>20</v>
      </c>
      <c r="Q9" s="140">
        <f>ROUNDUP($I9/$M9+$J9/$N9+$K9/$O9+$L9/$P9+E9+F9+G9,0)</f>
        <v>1</v>
      </c>
    </row>
    <row r="11" spans="2:17" ht="15.75">
      <c r="B11" s="278" t="s">
        <v>46</v>
      </c>
      <c r="C11" s="278"/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O11" s="14"/>
    </row>
    <row r="12" spans="2:17" ht="16.5" thickBot="1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O12" s="14"/>
    </row>
    <row r="13" spans="2:17" ht="16.5" thickBot="1">
      <c r="B13" s="4"/>
      <c r="C13" s="4"/>
      <c r="D13" s="300" t="s">
        <v>49</v>
      </c>
      <c r="E13" s="301"/>
      <c r="F13" s="95">
        <f>IF('Inicio MOD'!$C$21="Un turno",1,2)</f>
        <v>2</v>
      </c>
      <c r="G13" s="4"/>
      <c r="H13" s="300" t="s">
        <v>213</v>
      </c>
      <c r="I13" s="301"/>
      <c r="J13" s="95">
        <f>IF('Inicio MOD'!$F$14=0,1,'Inicio MOD'!$F$14)</f>
        <v>1</v>
      </c>
      <c r="K13" s="4"/>
      <c r="L13" s="4"/>
      <c r="M13" s="4"/>
      <c r="O13" s="14"/>
    </row>
    <row r="14" spans="2:17" ht="15.75">
      <c r="B14" s="2"/>
      <c r="C14" s="2"/>
      <c r="D14" s="4"/>
      <c r="E14" s="4"/>
      <c r="F14" s="4"/>
      <c r="G14" s="4"/>
      <c r="H14" s="4"/>
      <c r="I14" s="4"/>
      <c r="J14" s="4"/>
      <c r="K14" s="4"/>
      <c r="L14" s="4"/>
      <c r="M14" s="4"/>
      <c r="O14" s="14"/>
    </row>
    <row r="15" spans="2:17" ht="50.1" customHeight="1">
      <c r="B15" s="296" t="s">
        <v>51</v>
      </c>
      <c r="C15" s="298" t="s">
        <v>52</v>
      </c>
      <c r="D15" s="197" t="s">
        <v>203</v>
      </c>
      <c r="E15" s="197" t="s">
        <v>204</v>
      </c>
      <c r="F15" s="298" t="s">
        <v>53</v>
      </c>
      <c r="G15" s="304" t="s">
        <v>54</v>
      </c>
      <c r="H15" s="305"/>
      <c r="I15" s="305"/>
      <c r="J15" s="305"/>
      <c r="K15" s="302" t="s">
        <v>207</v>
      </c>
      <c r="L15" s="302"/>
      <c r="M15" s="302"/>
      <c r="N15" s="303"/>
      <c r="O15" s="121" t="s">
        <v>56</v>
      </c>
      <c r="P15" s="14"/>
    </row>
    <row r="16" spans="2:17" ht="50.1" customHeight="1">
      <c r="B16" s="297"/>
      <c r="C16" s="299"/>
      <c r="D16" s="196"/>
      <c r="E16" s="200" t="s">
        <v>208</v>
      </c>
      <c r="F16" s="299"/>
      <c r="G16" s="120" t="s">
        <v>57</v>
      </c>
      <c r="H16" s="120" t="s">
        <v>58</v>
      </c>
      <c r="I16" s="120" t="s">
        <v>59</v>
      </c>
      <c r="J16" s="120" t="s">
        <v>60</v>
      </c>
      <c r="K16" s="122" t="s">
        <v>209</v>
      </c>
      <c r="L16" s="122" t="s">
        <v>210</v>
      </c>
      <c r="M16" s="122" t="s">
        <v>211</v>
      </c>
      <c r="N16" s="122" t="s">
        <v>212</v>
      </c>
      <c r="O16" s="120" t="str">
        <f>+CONCATENATE(J13," ","máquinas")</f>
        <v>1 máquinas</v>
      </c>
      <c r="P16" s="14"/>
    </row>
    <row r="17" spans="2:17">
      <c r="B17" s="140">
        <v>1</v>
      </c>
      <c r="C17" s="140" t="str">
        <f>'Inicio MOD'!$E$14&amp;"-"&amp;B17</f>
        <v>-1</v>
      </c>
      <c r="D17" s="135"/>
      <c r="E17" s="135"/>
      <c r="F17" s="135"/>
      <c r="G17" s="135"/>
      <c r="H17" s="135"/>
      <c r="I17" s="135"/>
      <c r="J17" s="140">
        <f>F17-G17-H17-I17</f>
        <v>0</v>
      </c>
      <c r="K17" s="140" t="e">
        <f>'Datos de entrada MOD'!$D$39*F13</f>
        <v>#N/A</v>
      </c>
      <c r="L17" s="140" t="e">
        <f>'Datos de entrada MOD'!$D$40*F13</f>
        <v>#N/A</v>
      </c>
      <c r="M17" s="140" t="e">
        <f>'Datos de entrada MOD'!$D$38*F13</f>
        <v>#N/A</v>
      </c>
      <c r="N17" s="140" t="e">
        <f>'Datos de entrada MOD'!$D$41*F13</f>
        <v>#N/A</v>
      </c>
      <c r="O17" s="140" t="e">
        <f>ROUNDUP($G17/$K17+$H17/$L17+$I17/$M17+$J17/$N17,0)</f>
        <v>#N/A</v>
      </c>
    </row>
    <row r="18" spans="2:17">
      <c r="B18" s="140">
        <f>B17+1</f>
        <v>2</v>
      </c>
      <c r="C18" s="140" t="str">
        <f>'Inicio MOD'!$E$14&amp;"-"&amp;B18</f>
        <v>-2</v>
      </c>
      <c r="D18" s="135"/>
      <c r="E18" s="135"/>
      <c r="F18" s="135"/>
      <c r="G18" s="135"/>
      <c r="H18" s="135"/>
      <c r="I18" s="135"/>
      <c r="J18" s="140">
        <f>F18-G18-H18-I18</f>
        <v>0</v>
      </c>
      <c r="K18" s="140" t="e">
        <f>K17</f>
        <v>#N/A</v>
      </c>
      <c r="L18" s="140" t="e">
        <f>L17</f>
        <v>#N/A</v>
      </c>
      <c r="M18" s="140" t="e">
        <f>M17</f>
        <v>#N/A</v>
      </c>
      <c r="N18" s="140" t="e">
        <f>N17</f>
        <v>#N/A</v>
      </c>
      <c r="O18" s="140" t="e">
        <f>ROUNDUP($G18/$K18+$H18/$L18+$I18/$M18+$J18/$N18,0)</f>
        <v>#N/A</v>
      </c>
    </row>
    <row r="20" spans="2:17" ht="15.75">
      <c r="B20" s="278" t="s">
        <v>47</v>
      </c>
      <c r="C20" s="278"/>
      <c r="D20" s="278"/>
      <c r="E20" s="278"/>
      <c r="F20" s="278"/>
      <c r="G20" s="108"/>
      <c r="H20" s="108"/>
      <c r="I20" s="108"/>
      <c r="J20" s="108"/>
      <c r="K20" s="108"/>
      <c r="L20" s="108"/>
      <c r="M20" s="108"/>
    </row>
    <row r="21" spans="2:17" ht="16.5" thickBot="1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113"/>
    </row>
    <row r="22" spans="2:17" ht="16.5" thickBot="1">
      <c r="B22" s="4"/>
      <c r="C22" s="4"/>
      <c r="D22" s="300" t="s">
        <v>49</v>
      </c>
      <c r="E22" s="301"/>
      <c r="F22" s="95">
        <v>1</v>
      </c>
      <c r="G22" s="4"/>
      <c r="H22" s="4"/>
      <c r="I22" s="4"/>
      <c r="K22" s="4"/>
    </row>
    <row r="23" spans="2:17" ht="15.75">
      <c r="B23" s="2"/>
      <c r="C23" s="2"/>
      <c r="D23" s="4"/>
      <c r="E23" s="4"/>
      <c r="F23" s="4"/>
      <c r="G23" s="4"/>
      <c r="H23" s="4"/>
      <c r="I23" s="4"/>
      <c r="J23" s="4"/>
      <c r="K23" s="4"/>
      <c r="L23" s="4"/>
      <c r="M23" s="113"/>
      <c r="N23" s="113"/>
      <c r="O23" s="113"/>
      <c r="P23" s="113"/>
      <c r="Q23" s="113"/>
    </row>
    <row r="24" spans="2:17" ht="50.1" customHeight="1">
      <c r="B24" s="296" t="s">
        <v>51</v>
      </c>
      <c r="C24" s="296" t="s">
        <v>52</v>
      </c>
      <c r="D24" s="296" t="s">
        <v>70</v>
      </c>
      <c r="E24" s="298" t="s">
        <v>73</v>
      </c>
      <c r="F24" s="198" t="s">
        <v>56</v>
      </c>
      <c r="M24" s="115"/>
      <c r="N24" s="3"/>
      <c r="O24" s="110"/>
      <c r="P24" s="3"/>
      <c r="Q24" s="3"/>
    </row>
    <row r="25" spans="2:17" ht="50.1" customHeight="1">
      <c r="B25" s="297"/>
      <c r="C25" s="297"/>
      <c r="D25" s="297"/>
      <c r="E25" s="307"/>
      <c r="F25" s="199"/>
      <c r="M25" s="115"/>
      <c r="N25" s="3"/>
      <c r="O25" s="110"/>
      <c r="P25" s="3"/>
      <c r="Q25" s="3"/>
    </row>
    <row r="26" spans="2:17">
      <c r="B26" s="140">
        <v>1</v>
      </c>
      <c r="C26" s="140" t="str">
        <f>'Inicio MOD'!$E$15&amp;"-"&amp;B26</f>
        <v>TPSR KP23-1</v>
      </c>
      <c r="D26" s="135">
        <f>'Inicio MOD'!$D$15</f>
        <v>29</v>
      </c>
      <c r="E26" s="140">
        <f>'Datos de entrada MOD'!$A$38*F22</f>
        <v>4</v>
      </c>
      <c r="F26" s="140">
        <f>ROUNDUP($D26/$E26,0)</f>
        <v>8</v>
      </c>
      <c r="M26" s="115"/>
      <c r="N26" s="3"/>
      <c r="O26" s="110"/>
      <c r="P26" s="3"/>
      <c r="Q26" s="3"/>
    </row>
    <row r="29" spans="2:17" ht="15.75">
      <c r="B29" s="278" t="s">
        <v>48</v>
      </c>
      <c r="C29" s="278"/>
      <c r="D29" s="278"/>
      <c r="E29" s="278"/>
      <c r="F29" s="278"/>
      <c r="G29" s="108"/>
      <c r="H29" s="108"/>
      <c r="I29" s="108"/>
      <c r="J29" s="108"/>
      <c r="K29" s="108"/>
      <c r="L29" s="108"/>
      <c r="M29" s="108"/>
    </row>
    <row r="30" spans="2:17" ht="16.5" thickBot="1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113"/>
    </row>
    <row r="31" spans="2:17" ht="16.5" thickBot="1">
      <c r="B31" s="4"/>
      <c r="C31" s="4"/>
      <c r="D31" s="300" t="s">
        <v>49</v>
      </c>
      <c r="E31" s="301"/>
      <c r="F31" s="95">
        <v>1</v>
      </c>
      <c r="G31" s="4"/>
      <c r="H31" s="4"/>
      <c r="I31" s="4"/>
      <c r="K31" s="4"/>
    </row>
    <row r="32" spans="2:17" ht="15.75">
      <c r="B32" s="2"/>
      <c r="C32" s="2"/>
      <c r="D32" s="4"/>
      <c r="E32" s="4"/>
      <c r="F32" s="4"/>
      <c r="G32" s="4"/>
      <c r="H32" s="4"/>
      <c r="I32" s="4"/>
      <c r="J32" s="4"/>
      <c r="K32" s="4"/>
      <c r="L32" s="4"/>
      <c r="M32" s="113"/>
      <c r="N32" s="113"/>
      <c r="O32" s="113"/>
      <c r="P32" s="113"/>
      <c r="Q32" s="113"/>
    </row>
    <row r="33" spans="2:17" ht="50.1" customHeight="1">
      <c r="B33" s="296" t="s">
        <v>51</v>
      </c>
      <c r="C33" s="296" t="s">
        <v>52</v>
      </c>
      <c r="D33" s="296" t="s">
        <v>70</v>
      </c>
      <c r="E33" s="298" t="s">
        <v>214</v>
      </c>
      <c r="F33" s="198" t="s">
        <v>56</v>
      </c>
      <c r="M33" s="115"/>
      <c r="N33" s="3"/>
      <c r="O33" s="110"/>
      <c r="P33" s="3"/>
      <c r="Q33" s="3"/>
    </row>
    <row r="34" spans="2:17" ht="50.1" customHeight="1">
      <c r="B34" s="297"/>
      <c r="C34" s="297"/>
      <c r="D34" s="297"/>
      <c r="E34" s="307"/>
      <c r="F34" s="199"/>
      <c r="M34" s="115"/>
      <c r="N34" s="3"/>
      <c r="O34" s="110"/>
      <c r="P34" s="3"/>
      <c r="Q34" s="3"/>
    </row>
    <row r="35" spans="2:17">
      <c r="B35" s="140">
        <v>1</v>
      </c>
      <c r="C35" s="140" t="str">
        <f>'Inicio MOD'!$E$16&amp;"-"&amp;B35</f>
        <v>TRSR KP23-1</v>
      </c>
      <c r="D35" s="135">
        <f>'Inicio MOD'!$D$16</f>
        <v>7</v>
      </c>
      <c r="E35" s="140">
        <f>'Datos de entrada MOD'!$A$39*F31</f>
        <v>1</v>
      </c>
      <c r="F35" s="140">
        <f>ROUNDUP($D35/$E35,0)</f>
        <v>7</v>
      </c>
      <c r="M35" s="115"/>
      <c r="N35" s="3"/>
      <c r="O35" s="110"/>
      <c r="P35" s="3"/>
      <c r="Q35" s="3"/>
    </row>
    <row r="38" spans="2:17" ht="15.75">
      <c r="B38" s="278" t="s">
        <v>215</v>
      </c>
      <c r="C38" s="278"/>
      <c r="D38" s="278"/>
      <c r="E38" s="278"/>
      <c r="F38" s="278"/>
      <c r="G38" s="278"/>
      <c r="H38" s="278"/>
      <c r="I38" s="278"/>
      <c r="J38" s="278"/>
      <c r="K38" s="278"/>
      <c r="L38" s="278"/>
      <c r="M38" s="278"/>
    </row>
    <row r="39" spans="2:17" ht="16.5" thickBot="1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7" ht="16.5" thickBot="1">
      <c r="B40" s="4"/>
      <c r="C40" s="4"/>
      <c r="D40" s="300" t="s">
        <v>49</v>
      </c>
      <c r="E40" s="301"/>
      <c r="F40" s="95">
        <f>IF('Inicio MOD'!$C$21="Un turno",1,2)</f>
        <v>2</v>
      </c>
      <c r="G40" s="4"/>
      <c r="H40" s="300" t="s">
        <v>216</v>
      </c>
      <c r="I40" s="301"/>
      <c r="J40" s="95">
        <f>IF('Inicio MOD'!$F$17=0,1,'Inicio MOD'!$F$17)</f>
        <v>1</v>
      </c>
      <c r="K40" s="4"/>
      <c r="L40" s="4"/>
      <c r="M40" s="4"/>
    </row>
    <row r="41" spans="2:17" ht="15.75">
      <c r="B41" s="2"/>
      <c r="C41" s="2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7" ht="50.1" customHeight="1">
      <c r="B42" s="296" t="s">
        <v>51</v>
      </c>
      <c r="C42" s="298" t="s">
        <v>52</v>
      </c>
      <c r="D42" s="298" t="s">
        <v>53</v>
      </c>
      <c r="E42" s="304" t="s">
        <v>54</v>
      </c>
      <c r="F42" s="305"/>
      <c r="G42" s="305"/>
      <c r="H42" s="306"/>
      <c r="I42" s="308" t="s">
        <v>207</v>
      </c>
      <c r="J42" s="302"/>
      <c r="K42" s="302"/>
      <c r="L42" s="303"/>
      <c r="M42" s="121" t="s">
        <v>56</v>
      </c>
    </row>
    <row r="43" spans="2:17" ht="50.1" customHeight="1">
      <c r="B43" s="297"/>
      <c r="C43" s="299"/>
      <c r="D43" s="299"/>
      <c r="E43" s="120" t="s">
        <v>57</v>
      </c>
      <c r="F43" s="120" t="s">
        <v>58</v>
      </c>
      <c r="G43" s="120" t="s">
        <v>59</v>
      </c>
      <c r="H43" s="120" t="s">
        <v>60</v>
      </c>
      <c r="I43" s="122" t="s">
        <v>209</v>
      </c>
      <c r="J43" s="122" t="s">
        <v>210</v>
      </c>
      <c r="K43" s="122" t="s">
        <v>211</v>
      </c>
      <c r="L43" s="122" t="s">
        <v>212</v>
      </c>
      <c r="M43" s="120" t="str">
        <f>+CONCATENATE(J40," ","máquinas")</f>
        <v>1 máquinas</v>
      </c>
    </row>
    <row r="44" spans="2:17">
      <c r="B44" s="140">
        <v>1</v>
      </c>
      <c r="C44" s="140" t="str">
        <f>'Inicio MOD'!$E$17&amp;"-"&amp;B44</f>
        <v>-1</v>
      </c>
      <c r="D44" s="135"/>
      <c r="E44" s="135"/>
      <c r="F44" s="135"/>
      <c r="G44" s="135"/>
      <c r="H44" s="140">
        <f>D44-E44-F44-G44</f>
        <v>0</v>
      </c>
      <c r="I44" s="140" t="e">
        <f>'Datos de entrada MOD'!$G$39*F40</f>
        <v>#N/A</v>
      </c>
      <c r="J44" s="140" t="e">
        <f>'Datos de entrada MOD'!$G$40*F40</f>
        <v>#N/A</v>
      </c>
      <c r="K44" s="140" t="e">
        <f>'Datos de entrada MOD'!$G$38*F40</f>
        <v>#N/A</v>
      </c>
      <c r="L44" s="140" t="e">
        <f>'Datos de entrada MOD'!$G$41*F40</f>
        <v>#N/A</v>
      </c>
      <c r="M44" s="140" t="e">
        <f>ROUNDUP($E44/$I44+$F44/$J44+$G44/$K44+$H44/$L44,0)</f>
        <v>#N/A</v>
      </c>
      <c r="N44" t="str">
        <f>IF((E44+F44+G44+H44)&gt;D44,"ERROR","")</f>
        <v/>
      </c>
    </row>
    <row r="45" spans="2:17">
      <c r="B45" s="140">
        <f>B44+1</f>
        <v>2</v>
      </c>
      <c r="C45" s="140" t="str">
        <f>'Inicio MOD'!$E$17&amp;"-"&amp;B45</f>
        <v>-2</v>
      </c>
      <c r="D45" s="135"/>
      <c r="E45" s="135"/>
      <c r="F45" s="135"/>
      <c r="G45" s="135"/>
      <c r="H45" s="140">
        <f>D45-E45-F45-G45</f>
        <v>0</v>
      </c>
      <c r="I45" s="140" t="e">
        <f>I44</f>
        <v>#N/A</v>
      </c>
      <c r="J45" s="140" t="e">
        <f>J44</f>
        <v>#N/A</v>
      </c>
      <c r="K45" s="140" t="e">
        <f>K44</f>
        <v>#N/A</v>
      </c>
      <c r="L45" s="140" t="e">
        <f>L44</f>
        <v>#N/A</v>
      </c>
      <c r="M45" s="140" t="e">
        <f>ROUNDUP($E45/$I45+$F45/$J45+$G45/$K45+$H45/$L45,0)</f>
        <v>#N/A</v>
      </c>
      <c r="N45" t="str">
        <f>IF((E45+F45+G45+H45)&gt;D45,"ERROR","")</f>
        <v/>
      </c>
    </row>
    <row r="47" spans="2:17" ht="15.75">
      <c r="B47" s="278" t="s">
        <v>217</v>
      </c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</row>
    <row r="48" spans="2:17" ht="16.5" thickBo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4" ht="16.5" thickBot="1">
      <c r="B49" s="4"/>
      <c r="C49" s="4"/>
      <c r="D49" s="300" t="s">
        <v>49</v>
      </c>
      <c r="E49" s="301"/>
      <c r="F49" s="95">
        <f>IF('Inicio MOD'!$C$21="Un turno",1,2)</f>
        <v>2</v>
      </c>
      <c r="G49" s="4"/>
      <c r="H49" s="300" t="s">
        <v>218</v>
      </c>
      <c r="I49" s="301"/>
      <c r="J49" s="95">
        <f>IF('Inicio MOD'!$F$18=0,1,'Inicio MOD'!$F$18)</f>
        <v>1</v>
      </c>
      <c r="K49" s="4"/>
      <c r="L49" s="4"/>
      <c r="M49" s="4"/>
    </row>
    <row r="50" spans="2:14" ht="15.75">
      <c r="B50" s="2"/>
      <c r="C50" s="2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4" ht="50.1" customHeight="1">
      <c r="B51" s="296" t="s">
        <v>51</v>
      </c>
      <c r="C51" s="298" t="s">
        <v>52</v>
      </c>
      <c r="D51" s="298" t="s">
        <v>53</v>
      </c>
      <c r="E51" s="304" t="s">
        <v>54</v>
      </c>
      <c r="F51" s="305"/>
      <c r="G51" s="305"/>
      <c r="H51" s="306"/>
      <c r="I51" s="308" t="s">
        <v>207</v>
      </c>
      <c r="J51" s="302"/>
      <c r="K51" s="302"/>
      <c r="L51" s="303"/>
      <c r="M51" s="121" t="s">
        <v>56</v>
      </c>
    </row>
    <row r="52" spans="2:14" ht="50.1" customHeight="1">
      <c r="B52" s="297"/>
      <c r="C52" s="299"/>
      <c r="D52" s="299"/>
      <c r="E52" s="120" t="s">
        <v>57</v>
      </c>
      <c r="F52" s="120" t="s">
        <v>58</v>
      </c>
      <c r="G52" s="120" t="s">
        <v>59</v>
      </c>
      <c r="H52" s="120" t="s">
        <v>60</v>
      </c>
      <c r="I52" s="122" t="s">
        <v>209</v>
      </c>
      <c r="J52" s="122" t="s">
        <v>210</v>
      </c>
      <c r="K52" s="122" t="s">
        <v>211</v>
      </c>
      <c r="L52" s="122" t="s">
        <v>212</v>
      </c>
      <c r="M52" s="120" t="str">
        <f>+CONCATENATE(J49," ","máquinas")</f>
        <v>1 máquinas</v>
      </c>
    </row>
    <row r="53" spans="2:14">
      <c r="B53" s="140">
        <v>1</v>
      </c>
      <c r="C53" s="140" t="str">
        <f>'Inicio MOD'!$E$18&amp;"-"&amp;B53</f>
        <v>-1</v>
      </c>
      <c r="D53" s="135"/>
      <c r="E53" s="135"/>
      <c r="F53" s="135"/>
      <c r="G53" s="135"/>
      <c r="H53" s="140">
        <f>D53-E53-F53-G53</f>
        <v>0</v>
      </c>
      <c r="I53" s="140" t="e">
        <f>'Datos de entrada MOD'!$H$39*F49</f>
        <v>#N/A</v>
      </c>
      <c r="J53" s="140" t="e">
        <f>'Datos de entrada MOD'!$H$40*F49</f>
        <v>#N/A</v>
      </c>
      <c r="K53" s="140" t="e">
        <f>'Datos de entrada MOD'!$H$38*F49</f>
        <v>#N/A</v>
      </c>
      <c r="L53" s="140" t="e">
        <f>'Datos de entrada MOD'!$H$41*F49</f>
        <v>#N/A</v>
      </c>
      <c r="M53" s="140" t="e">
        <f>ROUNDUP($E53/$I53+$F53/$J53+$G53/$K53+$H53/$L53,0)</f>
        <v>#N/A</v>
      </c>
      <c r="N53" t="str">
        <f>IF((E53+F53+G53+H53)&gt;D53,"ERROR","")</f>
        <v/>
      </c>
    </row>
    <row r="54" spans="2:14">
      <c r="B54" s="140">
        <f>B53+1</f>
        <v>2</v>
      </c>
      <c r="C54" s="140" t="str">
        <f>'Inicio MOD'!$E$18&amp;"-"&amp;B54</f>
        <v>-2</v>
      </c>
      <c r="D54" s="135"/>
      <c r="E54" s="135"/>
      <c r="F54" s="135"/>
      <c r="G54" s="135"/>
      <c r="H54" s="140">
        <f>D54-E54-F54-G54</f>
        <v>0</v>
      </c>
      <c r="I54" s="140" t="e">
        <f>I53</f>
        <v>#N/A</v>
      </c>
      <c r="J54" s="140" t="e">
        <f>J53</f>
        <v>#N/A</v>
      </c>
      <c r="K54" s="140" t="e">
        <f>K53</f>
        <v>#N/A</v>
      </c>
      <c r="L54" s="140" t="e">
        <f>L53</f>
        <v>#N/A</v>
      </c>
      <c r="M54" s="140" t="e">
        <f>ROUNDUP($E54/$I54+$F54/$J54+$G54/$K54+$H54/$L54,0)</f>
        <v>#N/A</v>
      </c>
      <c r="N54" t="str">
        <f>IF((E54+F54+G54+H54)&gt;D54,"ERROR","")</f>
        <v/>
      </c>
    </row>
    <row r="56" spans="2:14" ht="15.75">
      <c r="B56" s="123" t="s">
        <v>219</v>
      </c>
      <c r="C56" s="195"/>
      <c r="E56" s="123" t="s">
        <v>220</v>
      </c>
      <c r="F56" s="135"/>
      <c r="I56" s="108"/>
      <c r="J56" s="108"/>
      <c r="K56" s="108"/>
      <c r="L56" s="108"/>
      <c r="M56" s="108"/>
    </row>
    <row r="58" spans="2:14">
      <c r="B58" s="124" t="s">
        <v>219</v>
      </c>
      <c r="D58" s="123" t="s">
        <v>219</v>
      </c>
      <c r="E58" s="195">
        <v>3</v>
      </c>
    </row>
    <row r="60" spans="2:14">
      <c r="B60" s="124" t="s">
        <v>221</v>
      </c>
      <c r="C60" s="124" t="s">
        <v>27</v>
      </c>
      <c r="D60" s="124" t="s">
        <v>222</v>
      </c>
      <c r="E60" s="124" t="s">
        <v>223</v>
      </c>
      <c r="F60" s="124" t="s">
        <v>224</v>
      </c>
      <c r="G60" s="113"/>
    </row>
    <row r="61" spans="2:14">
      <c r="B61" s="135"/>
      <c r="C61" s="135"/>
      <c r="D61" s="135" t="str">
        <f>'Inicio MOD'!$C$8</f>
        <v>14x7</v>
      </c>
      <c r="E61" s="146"/>
      <c r="F61" s="147"/>
      <c r="G61" s="114"/>
    </row>
    <row r="62" spans="2:14">
      <c r="B62" s="135"/>
      <c r="C62" s="135"/>
      <c r="D62" s="135" t="str">
        <f>+IF(AND('Table Headings'!$F$4=1,E58=2),RIGHT(D61,1)&amp;"x"&amp;LEFT(D61,2),D61)</f>
        <v>14x7</v>
      </c>
      <c r="E62" s="148"/>
      <c r="F62" s="149"/>
      <c r="G62" s="114"/>
    </row>
    <row r="63" spans="2:14">
      <c r="B63" s="135"/>
      <c r="C63" s="135"/>
      <c r="D63" s="135" t="str">
        <f>IF(D61="14x7","14x7","14x14")</f>
        <v>14x7</v>
      </c>
      <c r="E63" s="150"/>
      <c r="F63" s="151"/>
      <c r="G63" s="114"/>
    </row>
    <row r="66" spans="2:15">
      <c r="B66" s="124" t="s">
        <v>193</v>
      </c>
    </row>
    <row r="68" spans="2:15">
      <c r="B68" s="124" t="s">
        <v>219</v>
      </c>
    </row>
    <row r="70" spans="2:15" ht="63.75">
      <c r="B70" s="124" t="s">
        <v>221</v>
      </c>
      <c r="C70" s="124" t="s">
        <v>27</v>
      </c>
      <c r="D70" s="213" t="s">
        <v>225</v>
      </c>
      <c r="E70" s="213" t="s">
        <v>226</v>
      </c>
      <c r="F70" s="213" t="s">
        <v>227</v>
      </c>
      <c r="G70" s="214" t="s">
        <v>228</v>
      </c>
      <c r="H70" s="214" t="s">
        <v>229</v>
      </c>
      <c r="I70" s="214" t="s">
        <v>155</v>
      </c>
      <c r="J70" s="214" t="s">
        <v>230</v>
      </c>
      <c r="K70" s="214" t="s">
        <v>231</v>
      </c>
      <c r="L70" s="214" t="s">
        <v>232</v>
      </c>
      <c r="M70" s="214" t="s">
        <v>233</v>
      </c>
      <c r="N70" s="214" t="s">
        <v>234</v>
      </c>
      <c r="O70" s="214" t="s">
        <v>235</v>
      </c>
    </row>
    <row r="71" spans="2:15">
      <c r="B71" s="141"/>
      <c r="C71" s="141"/>
      <c r="D71" s="141"/>
      <c r="E71" s="141"/>
      <c r="F71" s="141"/>
      <c r="G71" s="126">
        <f>D71*'Datos de entrada MOD'!$T$21+E71*'Datos de entrada MOD'!$T$18+F71*'Datos de entrada MOD'!$T$17</f>
        <v>0</v>
      </c>
      <c r="H71" s="141"/>
      <c r="I71" s="141"/>
      <c r="J71" s="141"/>
      <c r="K71" s="141"/>
      <c r="L71" s="141"/>
      <c r="M71" s="141"/>
      <c r="N71" s="126">
        <f>H71*'Datos de entrada MOD'!$T$22+I71*'Datos de entrada MOD'!$T$19+J71*'Datos de entrada MOD'!$T$20+K71*'Datos de entrada MOD'!$T$23</f>
        <v>0</v>
      </c>
      <c r="O71" s="126"/>
    </row>
    <row r="72" spans="2:15">
      <c r="B72" s="141"/>
      <c r="C72" s="141"/>
      <c r="D72" s="141"/>
      <c r="E72" s="141"/>
      <c r="F72" s="141"/>
      <c r="G72" s="126">
        <f>D72*'Datos de entrada MOD'!$T$21+E72*'Datos de entrada MOD'!$T$18+F72*'Datos de entrada MOD'!$T$17</f>
        <v>0</v>
      </c>
      <c r="H72" s="141"/>
      <c r="I72" s="141"/>
      <c r="J72" s="141"/>
      <c r="K72" s="141"/>
      <c r="L72" s="141"/>
      <c r="M72" s="141"/>
      <c r="N72" s="126">
        <f>H72*'Datos de entrada MOD'!$T$22+I72*'Datos de entrada MOD'!$T$19+J72*'Datos de entrada MOD'!$T$20+K72*'Datos de entrada MOD'!$T$23</f>
        <v>0</v>
      </c>
      <c r="O72" s="126"/>
    </row>
    <row r="73" spans="2:15">
      <c r="B73" s="141"/>
      <c r="C73" s="141"/>
      <c r="D73" s="141"/>
      <c r="E73" s="141"/>
      <c r="F73" s="141"/>
      <c r="G73" s="126">
        <f>D73*'Datos de entrada MOD'!$T$21+E73*'Datos de entrada MOD'!$T$18+F73*'Datos de entrada MOD'!$T$17</f>
        <v>0</v>
      </c>
      <c r="H73" s="141"/>
      <c r="I73" s="141"/>
      <c r="J73" s="141"/>
      <c r="K73" s="141"/>
      <c r="L73" s="141"/>
      <c r="M73" s="141"/>
      <c r="N73" s="126">
        <f>H73*'Datos de entrada MOD'!$T$22+I73*'Datos de entrada MOD'!$T$19+J73*'Datos de entrada MOD'!$T$20+K73*'Datos de entrada MOD'!$T$23</f>
        <v>0</v>
      </c>
      <c r="O73" s="126"/>
    </row>
    <row r="75" spans="2:15">
      <c r="B75" s="125" t="s">
        <v>236</v>
      </c>
      <c r="C75" s="124"/>
      <c r="D75" s="141">
        <f>SUM(G71:G73,N71:N73)</f>
        <v>0</v>
      </c>
    </row>
    <row r="76" spans="2:15">
      <c r="B76" s="125" t="s">
        <v>237</v>
      </c>
      <c r="C76" s="124"/>
      <c r="D76" s="141"/>
    </row>
    <row r="77" spans="2:15">
      <c r="B77" s="125" t="s">
        <v>238</v>
      </c>
      <c r="C77" s="124"/>
      <c r="D77" s="141">
        <f>SUM(O71:O73)</f>
        <v>0</v>
      </c>
    </row>
    <row r="78" spans="2:15">
      <c r="B78" s="125" t="s">
        <v>239</v>
      </c>
      <c r="C78" s="124"/>
      <c r="D78" s="141">
        <f>D77</f>
        <v>0</v>
      </c>
    </row>
    <row r="80" spans="2:15">
      <c r="D80" s="69"/>
    </row>
    <row r="81" spans="2:11">
      <c r="C81" s="136" t="s">
        <v>240</v>
      </c>
      <c r="D81" s="69"/>
    </row>
    <row r="82" spans="2:11">
      <c r="D82" s="69"/>
    </row>
    <row r="83" spans="2:11" ht="15.75" thickBot="1">
      <c r="C83" s="243" t="s">
        <v>241</v>
      </c>
      <c r="D83" s="69"/>
      <c r="E83" s="69"/>
      <c r="G83" t="s">
        <v>242</v>
      </c>
    </row>
    <row r="84" spans="2:11">
      <c r="C84" s="243" t="s">
        <v>243</v>
      </c>
      <c r="D84" s="69"/>
      <c r="E84" s="69"/>
      <c r="J84" s="187" t="s">
        <v>244</v>
      </c>
      <c r="K84" s="188"/>
    </row>
    <row r="85" spans="2:11">
      <c r="C85" s="243" t="s">
        <v>245</v>
      </c>
      <c r="D85" s="69"/>
      <c r="E85" s="69"/>
      <c r="G85" s="140"/>
      <c r="H85" s="140"/>
      <c r="J85" s="189">
        <f>HLOOKUP('Inicio MOD'!$C$5,Rates!$F$6:$H$18,K85,FALSE)</f>
        <v>4</v>
      </c>
      <c r="K85" s="190">
        <v>2</v>
      </c>
    </row>
    <row r="86" spans="2:11">
      <c r="C86" s="243" t="s">
        <v>246</v>
      </c>
      <c r="E86" s="69"/>
      <c r="G86" s="144" t="e">
        <f>HLOOKUP(G85,'Table Headings'!$J$98:$O$102,2,FALSE)</f>
        <v>#N/A</v>
      </c>
      <c r="H86" s="178" t="e">
        <f>HLOOKUP(H85,'Table Headings'!$J$98:$O$102,2,FALSE)</f>
        <v>#N/A</v>
      </c>
      <c r="J86" s="189">
        <f>HLOOKUP('Inicio MOD'!$C$5,Rates!$F$6:$H$18,K86,FALSE)</f>
        <v>6</v>
      </c>
      <c r="K86" s="190">
        <v>3</v>
      </c>
    </row>
    <row r="87" spans="2:11">
      <c r="C87" s="243" t="s">
        <v>247</v>
      </c>
      <c r="E87" s="69"/>
      <c r="G87" s="144" t="e">
        <f>HLOOKUP(G85,'Table Headings'!$J$98:$O$102,3,FALSE)</f>
        <v>#N/A</v>
      </c>
      <c r="J87" s="189">
        <f>HLOOKUP('Inicio MOD'!$C$5,Rates!$F$6:$H$18,K87,FALSE)</f>
        <v>8</v>
      </c>
      <c r="K87" s="190">
        <v>4</v>
      </c>
    </row>
    <row r="88" spans="2:11">
      <c r="C88" s="243" t="s">
        <v>248</v>
      </c>
      <c r="E88" s="69"/>
      <c r="G88" s="144" t="e">
        <f>HLOOKUP(G85,'Table Headings'!$J$98:$O$102,4,FALSE)</f>
        <v>#N/A</v>
      </c>
      <c r="J88" s="189">
        <f>HLOOKUP('Inicio MOD'!$C$5,Rates!$F$6:$H$18,K88,FALSE)</f>
        <v>10</v>
      </c>
      <c r="K88" s="190">
        <v>5</v>
      </c>
    </row>
    <row r="89" spans="2:11">
      <c r="G89" s="145" t="e">
        <f>HLOOKUP(G85,'Table Headings'!$J$98:$O$102,5,FALSE)</f>
        <v>#N/A</v>
      </c>
      <c r="J89" s="189">
        <f>HLOOKUP('Inicio MOD'!$C$5,Rates!$F$6:$H$18,K89,FALSE)</f>
        <v>20</v>
      </c>
      <c r="K89" s="190">
        <v>6</v>
      </c>
    </row>
    <row r="90" spans="2:11">
      <c r="J90" s="189">
        <f>HLOOKUP('Inicio MOD'!$C$5,Rates!$F$6:$H$18,K90,FALSE)</f>
        <v>20</v>
      </c>
      <c r="K90" s="190">
        <v>7</v>
      </c>
    </row>
    <row r="91" spans="2:11">
      <c r="J91" s="189">
        <f>HLOOKUP('Inicio MOD'!$C$5,Rates!$F$6:$H$18,K91,FALSE)</f>
        <v>20</v>
      </c>
      <c r="K91" s="190">
        <v>8</v>
      </c>
    </row>
    <row r="92" spans="2:11">
      <c r="B92" s="44" t="s">
        <v>249</v>
      </c>
      <c r="J92" s="189">
        <f>HLOOKUP('Inicio MOD'!$C$5,Rates!$F$6:$H$18,K92,FALSE)</f>
        <v>20</v>
      </c>
      <c r="K92" s="190">
        <v>9</v>
      </c>
    </row>
    <row r="93" spans="2:11">
      <c r="B93" s="137" t="s">
        <v>250</v>
      </c>
      <c r="J93" s="189">
        <f>HLOOKUP('Inicio MOD'!$C$5,Rates!$F$6:$H$18,K93,FALSE)</f>
        <v>4</v>
      </c>
      <c r="K93" s="190">
        <v>10</v>
      </c>
    </row>
    <row r="94" spans="2:11">
      <c r="B94" s="137" t="s">
        <v>251</v>
      </c>
      <c r="J94" s="189">
        <f>HLOOKUP('Inicio MOD'!$C$5,Rates!$F$6:$H$18,K94,FALSE)</f>
        <v>1</v>
      </c>
      <c r="K94" s="190">
        <v>11</v>
      </c>
    </row>
    <row r="95" spans="2:11">
      <c r="B95" s="137" t="s">
        <v>252</v>
      </c>
      <c r="J95" s="189">
        <f>HLOOKUP('Inicio MOD'!$C$5,Rates!$F$6:$H$18,K95,FALSE)</f>
        <v>5</v>
      </c>
      <c r="K95" s="190">
        <v>12</v>
      </c>
    </row>
    <row r="96" spans="2:11" ht="15.75" thickBot="1">
      <c r="B96" s="138" t="s">
        <v>253</v>
      </c>
      <c r="J96" s="191">
        <f>HLOOKUP('Inicio MOD'!$C$5,Rates!$F$6:$H$18,K96,FALSE)</f>
        <v>5</v>
      </c>
      <c r="K96" s="192">
        <v>13</v>
      </c>
    </row>
    <row r="97" spans="2:15" ht="15.75" thickBot="1"/>
    <row r="98" spans="2:15">
      <c r="B98" s="44" t="s">
        <v>249</v>
      </c>
      <c r="J98" s="187" t="s">
        <v>193</v>
      </c>
      <c r="K98" s="193" t="s">
        <v>148</v>
      </c>
      <c r="L98" s="193" t="s">
        <v>154</v>
      </c>
      <c r="M98" s="193" t="s">
        <v>75</v>
      </c>
      <c r="N98" s="193" t="s">
        <v>254</v>
      </c>
      <c r="O98" s="188" t="s">
        <v>157</v>
      </c>
    </row>
    <row r="99" spans="2:15" ht="15.75">
      <c r="B99" s="138" t="s">
        <v>255</v>
      </c>
      <c r="D99" s="108"/>
      <c r="J99" s="189">
        <f>J85</f>
        <v>4</v>
      </c>
      <c r="K99">
        <f>J89</f>
        <v>20</v>
      </c>
      <c r="L99">
        <f>J93</f>
        <v>4</v>
      </c>
      <c r="M99">
        <f>J94</f>
        <v>1</v>
      </c>
      <c r="N99">
        <f>J95</f>
        <v>5</v>
      </c>
      <c r="O99" s="190">
        <f>J96</f>
        <v>5</v>
      </c>
    </row>
    <row r="100" spans="2:15">
      <c r="J100" s="189">
        <f>J86</f>
        <v>6</v>
      </c>
      <c r="K100">
        <f>J90</f>
        <v>20</v>
      </c>
      <c r="O100" s="190"/>
    </row>
    <row r="101" spans="2:15">
      <c r="D101" s="176"/>
      <c r="J101" s="189">
        <f>J87</f>
        <v>8</v>
      </c>
      <c r="K101">
        <f>J91</f>
        <v>20</v>
      </c>
      <c r="O101" s="190"/>
    </row>
    <row r="102" spans="2:15" ht="16.5" thickBot="1">
      <c r="C102" s="108"/>
      <c r="D102" s="176"/>
      <c r="E102" s="108"/>
      <c r="J102" s="191">
        <f>J88</f>
        <v>10</v>
      </c>
      <c r="K102" s="194">
        <f>J92</f>
        <v>20</v>
      </c>
      <c r="L102" s="194"/>
      <c r="M102" s="194"/>
      <c r="N102" s="194"/>
      <c r="O102" s="192"/>
    </row>
    <row r="104" spans="2:15">
      <c r="C104" s="175"/>
      <c r="E104" s="176"/>
    </row>
    <row r="105" spans="2:15">
      <c r="C105" s="175"/>
      <c r="E105" s="176"/>
    </row>
  </sheetData>
  <mergeCells count="43">
    <mergeCell ref="I51:L51"/>
    <mergeCell ref="D31:E31"/>
    <mergeCell ref="D40:E40"/>
    <mergeCell ref="D49:E49"/>
    <mergeCell ref="H4:I4"/>
    <mergeCell ref="H13:I13"/>
    <mergeCell ref="H40:I40"/>
    <mergeCell ref="H49:I49"/>
    <mergeCell ref="B47:M47"/>
    <mergeCell ref="B38:M38"/>
    <mergeCell ref="B42:B43"/>
    <mergeCell ref="C42:C43"/>
    <mergeCell ref="D42:D43"/>
    <mergeCell ref="E42:H42"/>
    <mergeCell ref="I42:L42"/>
    <mergeCell ref="B33:B34"/>
    <mergeCell ref="D22:E22"/>
    <mergeCell ref="B20:F20"/>
    <mergeCell ref="B29:F29"/>
    <mergeCell ref="B51:B52"/>
    <mergeCell ref="C51:C52"/>
    <mergeCell ref="D51:D52"/>
    <mergeCell ref="E51:H51"/>
    <mergeCell ref="C33:C34"/>
    <mergeCell ref="D33:D34"/>
    <mergeCell ref="E33:E34"/>
    <mergeCell ref="B24:B25"/>
    <mergeCell ref="C24:C25"/>
    <mergeCell ref="D24:D25"/>
    <mergeCell ref="E24:E25"/>
    <mergeCell ref="B11:M11"/>
    <mergeCell ref="B15:B16"/>
    <mergeCell ref="C15:C16"/>
    <mergeCell ref="F15:F16"/>
    <mergeCell ref="D13:E13"/>
    <mergeCell ref="G15:J15"/>
    <mergeCell ref="K15:N15"/>
    <mergeCell ref="B2:M2"/>
    <mergeCell ref="B6:B7"/>
    <mergeCell ref="C6:C7"/>
    <mergeCell ref="H6:H7"/>
    <mergeCell ref="D4:E4"/>
    <mergeCell ref="M6:P6"/>
  </mergeCells>
  <conditionalFormatting sqref="N44:N45">
    <cfRule type="containsText" dxfId="83" priority="2" operator="containsText" text="ERROR">
      <formula>NOT(ISERROR(SEARCH("ERROR",N44)))</formula>
    </cfRule>
  </conditionalFormatting>
  <conditionalFormatting sqref="N53:N54">
    <cfRule type="containsText" dxfId="82" priority="1" operator="containsText" text="ERROR">
      <formula>NOT(ISERROR(SEARCH("ERROR",N53)))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genScheduleforTab">
                <anchor moveWithCells="1" sizeWithCells="1">
                  <from>
                    <xdr:col>7</xdr:col>
                    <xdr:colOff>219075</xdr:colOff>
                    <xdr:row>57</xdr:row>
                    <xdr:rowOff>66675</xdr:rowOff>
                  </from>
                  <to>
                    <xdr:col>8</xdr:col>
                    <xdr:colOff>800100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5" name="Button 11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55</xdr:row>
                    <xdr:rowOff>38100</xdr:rowOff>
                  </from>
                  <to>
                    <xdr:col>3</xdr:col>
                    <xdr:colOff>914400</xdr:colOff>
                    <xdr:row>56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400-000000000000}">
          <x14:formula1>
            <xm:f>'Datos de entrada MOD'!$E$25:$E$26</xm:f>
          </x14:formula1>
          <xm:sqref>O24:O26 O33:O35 D61</xm:sqref>
        </x14:dataValidation>
        <x14:dataValidation type="list" allowBlank="1" showInputMessage="1" showErrorMessage="1" xr:uid="{00000000-0002-0000-0400-000001000000}">
          <x14:formula1>
            <xm:f>Rates!$C$24:$C$32</xm:f>
          </x14:formula1>
          <xm:sqref>C61:C63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6">
    <tabColor theme="6" tint="0.59999389629810485"/>
  </sheetPr>
  <dimension ref="B1:SN200"/>
  <sheetViews>
    <sheetView zoomScale="70" zoomScaleNormal="70" workbookViewId="0">
      <selection activeCell="L17" sqref="L17"/>
    </sheetView>
  </sheetViews>
  <sheetFormatPr defaultColWidth="11.42578125" defaultRowHeight="15"/>
  <cols>
    <col min="6" max="6" width="14.85546875" customWidth="1"/>
    <col min="7" max="420" width="5.7109375" style="110" customWidth="1"/>
  </cols>
  <sheetData>
    <row r="1" spans="2:508" ht="84" customHeight="1" thickBot="1">
      <c r="C1" s="109"/>
      <c r="D1" s="109"/>
      <c r="E1" s="237">
        <v>1</v>
      </c>
      <c r="G1" s="238">
        <f>MIN(E5:E7)-5</f>
        <v>45112</v>
      </c>
      <c r="H1" s="238">
        <f>G1+1</f>
        <v>45113</v>
      </c>
      <c r="I1" s="238">
        <f>H1+1</f>
        <v>45114</v>
      </c>
    </row>
    <row r="2" spans="2:508" ht="24.75" customHeight="1" thickBot="1">
      <c r="B2" s="173" t="s">
        <v>219</v>
      </c>
      <c r="C2" s="109"/>
      <c r="D2" s="109"/>
      <c r="E2" s="237">
        <f>'Inicio MOD'!$M$14</f>
        <v>0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</row>
    <row r="3" spans="2:508" ht="24.75" customHeight="1"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239"/>
      <c r="AM3" s="239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39"/>
      <c r="BE3" s="239"/>
      <c r="BF3" s="239"/>
      <c r="BG3" s="239"/>
      <c r="BH3" s="239"/>
      <c r="BI3" s="239"/>
      <c r="BJ3" s="239"/>
      <c r="BK3" s="239"/>
      <c r="BL3" s="239"/>
      <c r="BM3" s="239"/>
      <c r="BN3" s="239"/>
      <c r="BO3" s="239"/>
      <c r="BP3" s="239"/>
      <c r="BQ3" s="239"/>
      <c r="BR3" s="239"/>
      <c r="BS3" s="239"/>
    </row>
    <row r="4" spans="2:508" s="110" customFormat="1" ht="84" customHeight="1">
      <c r="B4" s="171" t="s">
        <v>221</v>
      </c>
      <c r="C4" s="171" t="s">
        <v>27</v>
      </c>
      <c r="D4" s="171" t="s">
        <v>222</v>
      </c>
      <c r="E4" s="172" t="s">
        <v>223</v>
      </c>
      <c r="F4" s="172" t="s">
        <v>224</v>
      </c>
      <c r="G4" s="240"/>
      <c r="H4" s="241"/>
      <c r="I4" s="241"/>
      <c r="J4" s="241"/>
      <c r="K4" s="242"/>
      <c r="L4" s="242"/>
      <c r="M4" s="242"/>
      <c r="N4" s="242"/>
      <c r="O4" s="242"/>
      <c r="P4" s="242"/>
      <c r="Q4" s="242"/>
      <c r="R4" s="242"/>
      <c r="S4" s="242"/>
      <c r="T4" s="242"/>
      <c r="U4" s="242"/>
      <c r="V4" s="242"/>
      <c r="W4" s="242"/>
      <c r="X4" s="242"/>
      <c r="Y4" s="242"/>
      <c r="Z4" s="242"/>
      <c r="AA4" s="242"/>
      <c r="AB4" s="242"/>
      <c r="AC4" s="242"/>
      <c r="AD4" s="242"/>
      <c r="AE4" s="242"/>
      <c r="AF4" s="242"/>
      <c r="AG4" s="242"/>
      <c r="AH4" s="242"/>
      <c r="AI4" s="242"/>
      <c r="AJ4" s="242"/>
      <c r="AK4" s="242"/>
      <c r="AL4" s="242"/>
      <c r="AM4" s="242"/>
      <c r="AN4" s="242"/>
      <c r="AO4" s="242"/>
      <c r="AP4" s="242"/>
      <c r="AQ4" s="242"/>
      <c r="AR4" s="242"/>
      <c r="AS4" s="242"/>
      <c r="AT4" s="242"/>
      <c r="AU4" s="242"/>
      <c r="AV4" s="242"/>
      <c r="AW4" s="242"/>
      <c r="AX4" s="242"/>
      <c r="AY4" s="242"/>
      <c r="AZ4" s="242"/>
      <c r="BA4" s="242"/>
      <c r="BB4" s="242"/>
      <c r="BC4" s="242"/>
      <c r="BD4" s="242"/>
      <c r="BE4" s="242"/>
      <c r="BF4" s="242"/>
      <c r="BG4" s="242"/>
      <c r="BH4" s="242"/>
      <c r="BI4" s="242"/>
      <c r="BJ4" s="242"/>
      <c r="BK4" s="242"/>
      <c r="BL4" s="242"/>
      <c r="BM4" s="242"/>
      <c r="BN4" s="242"/>
      <c r="BO4" s="242"/>
      <c r="BP4" s="242"/>
      <c r="BQ4" s="242"/>
      <c r="BR4" s="242"/>
      <c r="BS4" s="242"/>
      <c r="BT4" s="242"/>
      <c r="BU4" s="242"/>
      <c r="BV4" s="242"/>
      <c r="BW4" s="242"/>
      <c r="BX4" s="242"/>
      <c r="BY4" s="242"/>
      <c r="BZ4" s="242"/>
      <c r="CA4" s="242"/>
      <c r="CB4" s="242"/>
      <c r="CC4" s="242"/>
      <c r="CD4" s="242"/>
      <c r="CE4" s="242"/>
      <c r="CF4" s="242"/>
      <c r="CG4" s="242"/>
      <c r="CH4" s="242"/>
      <c r="CI4" s="242"/>
      <c r="CJ4" s="242"/>
      <c r="CK4" s="242"/>
      <c r="CL4" s="242"/>
      <c r="CM4" s="242"/>
      <c r="CN4" s="242"/>
      <c r="CO4" s="242"/>
      <c r="CP4" s="242"/>
      <c r="CQ4" s="242"/>
      <c r="CR4" s="242"/>
      <c r="CS4" s="242"/>
      <c r="CT4" s="242"/>
      <c r="CU4" s="242"/>
      <c r="CV4" s="242"/>
      <c r="CW4" s="242"/>
      <c r="CX4" s="242"/>
      <c r="CY4" s="242"/>
      <c r="CZ4" s="242"/>
      <c r="DA4" s="242"/>
      <c r="DB4" s="242"/>
      <c r="DC4" s="242"/>
      <c r="DD4" s="242"/>
      <c r="DE4" s="242"/>
      <c r="DF4" s="242"/>
      <c r="DG4" s="242"/>
      <c r="DH4" s="242"/>
      <c r="DI4" s="242"/>
      <c r="DJ4" s="242"/>
      <c r="DK4" s="242"/>
      <c r="DL4" s="242"/>
      <c r="DM4" s="242"/>
      <c r="DN4" s="242"/>
      <c r="DO4" s="242"/>
      <c r="DP4" s="242"/>
      <c r="DQ4" s="242"/>
      <c r="DR4" s="242"/>
      <c r="DS4" s="242"/>
      <c r="DT4" s="242"/>
      <c r="DU4" s="242"/>
      <c r="DV4" s="242"/>
      <c r="DW4" s="242"/>
      <c r="DX4" s="242"/>
      <c r="DY4" s="242"/>
      <c r="DZ4" s="242"/>
      <c r="EA4" s="242"/>
      <c r="EB4" s="242"/>
      <c r="EC4" s="242"/>
      <c r="ED4" s="242"/>
      <c r="EE4" s="242"/>
      <c r="EF4" s="242"/>
      <c r="EG4" s="242"/>
      <c r="EH4" s="242"/>
      <c r="EI4" s="242"/>
      <c r="EJ4" s="242"/>
      <c r="EK4" s="242"/>
      <c r="EL4" s="242"/>
      <c r="EM4" s="242"/>
      <c r="EN4" s="242"/>
      <c r="EO4" s="242"/>
      <c r="EP4" s="242"/>
      <c r="EQ4" s="242"/>
      <c r="ER4" s="242"/>
      <c r="ES4" s="242"/>
      <c r="ET4" s="242"/>
      <c r="EU4" s="242"/>
      <c r="EV4" s="242"/>
      <c r="EW4" s="242"/>
      <c r="EX4" s="242"/>
      <c r="EY4" s="242"/>
      <c r="EZ4" s="242"/>
      <c r="FA4" s="242"/>
      <c r="FB4" s="242"/>
      <c r="FC4" s="242"/>
      <c r="FD4" s="242"/>
      <c r="FE4" s="242"/>
      <c r="FF4" s="242"/>
      <c r="FG4" s="242"/>
      <c r="FH4" s="242"/>
      <c r="FI4" s="242"/>
      <c r="FJ4" s="242"/>
      <c r="FK4" s="242"/>
      <c r="FL4" s="242"/>
      <c r="FM4" s="242"/>
      <c r="FN4" s="242"/>
      <c r="FO4" s="242"/>
      <c r="FP4" s="242"/>
      <c r="FQ4" s="242"/>
      <c r="FR4" s="242"/>
      <c r="FS4" s="242"/>
      <c r="FT4" s="242"/>
      <c r="FU4" s="242"/>
      <c r="FV4" s="242"/>
      <c r="FW4" s="242"/>
      <c r="FX4" s="242"/>
      <c r="FY4" s="242"/>
      <c r="FZ4" s="242"/>
      <c r="GA4" s="242"/>
      <c r="GB4" s="242"/>
      <c r="GC4" s="242"/>
      <c r="GD4" s="242"/>
      <c r="GE4" s="242"/>
      <c r="GF4" s="242"/>
      <c r="GG4" s="242"/>
      <c r="GH4" s="242"/>
      <c r="GI4" s="242"/>
      <c r="GJ4" s="242"/>
      <c r="GK4" s="242"/>
      <c r="GL4" s="242"/>
      <c r="GM4" s="242"/>
      <c r="GN4" s="242"/>
      <c r="GO4" s="242"/>
      <c r="GP4" s="242"/>
      <c r="GQ4" s="242"/>
      <c r="GR4" s="242"/>
      <c r="GS4" s="242"/>
      <c r="GT4" s="242"/>
      <c r="GU4" s="242"/>
      <c r="GV4" s="242"/>
      <c r="GW4" s="242"/>
      <c r="GX4" s="242"/>
      <c r="GY4" s="242"/>
      <c r="GZ4" s="242"/>
      <c r="HA4" s="242"/>
      <c r="HB4" s="242"/>
      <c r="HC4" s="242"/>
      <c r="HD4" s="242"/>
      <c r="HE4" s="242"/>
      <c r="HF4" s="242"/>
      <c r="HG4" s="242"/>
      <c r="HH4" s="242"/>
      <c r="HI4" s="242"/>
      <c r="HJ4" s="242"/>
      <c r="HK4" s="242"/>
      <c r="HL4" s="242"/>
      <c r="HM4" s="242"/>
      <c r="HN4" s="242"/>
      <c r="HO4" s="242"/>
      <c r="HP4" s="242"/>
      <c r="HQ4" s="242"/>
      <c r="HR4" s="242"/>
      <c r="HS4" s="242"/>
      <c r="HT4" s="242"/>
      <c r="HU4" s="242"/>
      <c r="HV4" s="242"/>
      <c r="HW4" s="242"/>
      <c r="HX4" s="242"/>
      <c r="HY4" s="242"/>
      <c r="HZ4" s="242"/>
      <c r="IA4" s="242"/>
      <c r="IB4" s="242"/>
      <c r="IC4" s="242"/>
      <c r="ID4" s="242"/>
      <c r="IE4" s="242"/>
      <c r="IF4" s="242"/>
      <c r="IG4" s="242"/>
      <c r="IH4" s="242"/>
      <c r="II4" s="242"/>
      <c r="IJ4" s="242"/>
      <c r="IK4" s="242"/>
      <c r="IL4" s="242"/>
      <c r="IM4" s="242"/>
      <c r="IN4" s="242"/>
      <c r="IO4" s="242"/>
      <c r="IP4" s="242"/>
      <c r="IQ4" s="242"/>
      <c r="IR4" s="242"/>
      <c r="IS4" s="242"/>
      <c r="IT4" s="242"/>
      <c r="IU4" s="242"/>
      <c r="IV4" s="242"/>
      <c r="IW4" s="242"/>
      <c r="IX4" s="242"/>
      <c r="IY4" s="242"/>
      <c r="IZ4" s="242"/>
      <c r="JA4" s="242"/>
      <c r="JB4" s="242"/>
      <c r="JC4" s="242"/>
      <c r="JD4" s="242"/>
      <c r="JE4" s="242"/>
      <c r="JF4" s="242"/>
      <c r="JG4" s="242"/>
      <c r="JH4" s="242"/>
      <c r="JI4" s="242"/>
      <c r="JJ4" s="242"/>
      <c r="JK4" s="242"/>
      <c r="JL4" s="242"/>
      <c r="JM4" s="242"/>
      <c r="JN4" s="242"/>
      <c r="JO4" s="242"/>
      <c r="JP4" s="242"/>
      <c r="JQ4" s="242"/>
      <c r="JR4" s="242"/>
      <c r="JS4" s="242"/>
      <c r="JT4" s="242"/>
      <c r="JU4" s="242"/>
      <c r="JV4" s="242"/>
      <c r="JW4" s="242"/>
      <c r="JX4" s="242"/>
      <c r="JY4" s="242"/>
      <c r="JZ4" s="242"/>
      <c r="KA4" s="242"/>
      <c r="KB4" s="242"/>
      <c r="KC4" s="242"/>
      <c r="KD4" s="242"/>
      <c r="KE4" s="242"/>
      <c r="KF4" s="242"/>
      <c r="KG4" s="242"/>
      <c r="KH4" s="242"/>
      <c r="KI4" s="242"/>
      <c r="KJ4" s="242"/>
      <c r="KK4" s="242"/>
      <c r="KL4" s="242"/>
      <c r="KM4" s="242"/>
      <c r="KN4" s="242"/>
      <c r="KO4" s="242"/>
      <c r="KP4" s="242"/>
      <c r="KQ4" s="242"/>
      <c r="KR4" s="242"/>
      <c r="KS4" s="242"/>
      <c r="KT4" s="242"/>
      <c r="KU4" s="242"/>
      <c r="KV4" s="242"/>
      <c r="KW4" s="242"/>
      <c r="KX4" s="242"/>
      <c r="KY4" s="242"/>
      <c r="KZ4" s="242"/>
      <c r="LA4" s="242"/>
      <c r="LB4" s="242"/>
      <c r="LC4" s="242"/>
      <c r="LD4" s="242"/>
      <c r="LE4" s="242"/>
      <c r="LF4" s="242"/>
      <c r="LG4" s="242"/>
      <c r="LH4" s="242"/>
      <c r="LI4" s="242"/>
      <c r="LJ4" s="242"/>
      <c r="LK4" s="242"/>
      <c r="LL4" s="242"/>
      <c r="LM4" s="242"/>
      <c r="LN4" s="242"/>
      <c r="LO4" s="242"/>
      <c r="LP4" s="242"/>
      <c r="LQ4" s="242"/>
      <c r="LR4" s="242"/>
      <c r="LS4" s="242"/>
      <c r="LT4" s="242"/>
      <c r="LU4" s="242"/>
      <c r="LV4" s="242"/>
      <c r="LW4" s="242"/>
      <c r="LX4" s="242"/>
      <c r="LY4" s="242"/>
      <c r="LZ4" s="242"/>
      <c r="MA4" s="242"/>
      <c r="MB4" s="242"/>
      <c r="MC4" s="242"/>
      <c r="MD4" s="242"/>
      <c r="ME4" s="242"/>
      <c r="MF4" s="242"/>
      <c r="MG4" s="242"/>
      <c r="MH4" s="242"/>
      <c r="MI4" s="242"/>
      <c r="MJ4" s="242"/>
      <c r="MK4" s="242"/>
      <c r="ML4" s="242"/>
      <c r="MM4" s="242"/>
      <c r="MN4" s="242"/>
      <c r="MO4" s="242"/>
      <c r="MP4" s="242"/>
      <c r="MQ4" s="242"/>
      <c r="MR4" s="242"/>
      <c r="MS4" s="242"/>
      <c r="MT4" s="242"/>
      <c r="MU4" s="242"/>
      <c r="MV4" s="242"/>
      <c r="MW4" s="242"/>
      <c r="MX4" s="242"/>
      <c r="MY4" s="242"/>
      <c r="MZ4" s="242"/>
      <c r="NA4" s="242"/>
      <c r="NB4" s="242"/>
      <c r="NC4" s="242"/>
      <c r="ND4" s="242"/>
      <c r="NE4" s="242"/>
      <c r="NF4" s="242"/>
      <c r="NG4" s="242"/>
      <c r="NH4" s="242"/>
      <c r="NI4" s="242"/>
      <c r="NJ4" s="242"/>
      <c r="NK4" s="242"/>
      <c r="NL4" s="242"/>
      <c r="NM4" s="242"/>
      <c r="NN4" s="242"/>
      <c r="NO4" s="242"/>
      <c r="NP4" s="242"/>
      <c r="NQ4" s="242"/>
      <c r="NR4" s="242"/>
      <c r="NS4" s="242"/>
      <c r="NT4" s="242"/>
      <c r="NU4" s="242"/>
      <c r="NV4" s="242"/>
      <c r="NW4" s="242"/>
      <c r="NX4" s="242"/>
      <c r="NY4" s="242"/>
      <c r="NZ4" s="242"/>
      <c r="OA4" s="242"/>
      <c r="OB4" s="242"/>
      <c r="OC4" s="242"/>
      <c r="OD4" s="242"/>
      <c r="OE4" s="242"/>
      <c r="OF4" s="242"/>
      <c r="OG4" s="242"/>
      <c r="OH4" s="242"/>
      <c r="OI4" s="242"/>
      <c r="OJ4" s="242"/>
      <c r="OK4" s="242"/>
      <c r="OL4" s="242"/>
      <c r="OM4" s="242"/>
      <c r="ON4" s="242"/>
      <c r="OO4" s="242"/>
      <c r="OP4" s="242"/>
      <c r="OQ4" s="242"/>
      <c r="OR4" s="242"/>
      <c r="OS4" s="242"/>
      <c r="OT4" s="242"/>
      <c r="OU4" s="242"/>
      <c r="OV4" s="242"/>
      <c r="OW4" s="242"/>
      <c r="OX4" s="242"/>
      <c r="OY4" s="242"/>
      <c r="OZ4" s="242"/>
      <c r="PA4" s="242"/>
      <c r="PB4" s="242"/>
      <c r="PC4" s="242"/>
      <c r="PD4" s="242"/>
      <c r="PE4" s="242"/>
      <c r="PF4" s="242"/>
      <c r="PG4" s="242"/>
      <c r="PH4" s="242"/>
      <c r="PI4" s="242"/>
      <c r="PJ4" s="242"/>
      <c r="PK4" s="242"/>
      <c r="PL4" s="242"/>
      <c r="PM4" s="242"/>
      <c r="PN4" s="242"/>
      <c r="PO4" s="242"/>
      <c r="PP4" s="242"/>
      <c r="PQ4" s="242"/>
      <c r="PR4" s="242"/>
      <c r="PS4" s="242"/>
      <c r="PT4" s="242"/>
      <c r="PU4" s="242"/>
      <c r="PV4" s="242"/>
      <c r="PW4" s="242"/>
      <c r="PX4" s="242"/>
      <c r="PY4" s="242"/>
      <c r="PZ4" s="242"/>
      <c r="QA4" s="242"/>
      <c r="QB4" s="242"/>
      <c r="QC4" s="242"/>
      <c r="QD4" s="242"/>
      <c r="QE4" s="242"/>
      <c r="QF4" s="242"/>
      <c r="QG4" s="242"/>
      <c r="QH4" s="242"/>
      <c r="QI4" s="242"/>
      <c r="QJ4" s="242"/>
      <c r="QK4" s="242"/>
      <c r="QL4" s="242"/>
      <c r="QM4" s="242"/>
      <c r="QN4" s="242"/>
      <c r="QO4" s="242"/>
      <c r="QP4" s="242"/>
      <c r="QQ4" s="242"/>
      <c r="QR4" s="242"/>
      <c r="QS4" s="242"/>
      <c r="QT4" s="242"/>
      <c r="QU4" s="242"/>
      <c r="QV4" s="242"/>
      <c r="QW4" s="242"/>
      <c r="QX4" s="242"/>
      <c r="QY4" s="242"/>
      <c r="QZ4" s="242"/>
      <c r="RA4" s="242"/>
      <c r="RB4" s="242"/>
      <c r="RC4" s="242"/>
      <c r="RD4" s="242"/>
      <c r="RE4" s="242"/>
      <c r="RF4" s="242"/>
      <c r="RG4" s="242"/>
      <c r="RH4" s="242"/>
      <c r="RI4" s="242"/>
      <c r="RJ4" s="242"/>
      <c r="RK4" s="242"/>
      <c r="RL4" s="242"/>
      <c r="RM4" s="242"/>
      <c r="RN4" s="242"/>
      <c r="RO4" s="242"/>
      <c r="RP4" s="242"/>
      <c r="RQ4" s="242"/>
      <c r="RR4" s="242"/>
      <c r="RS4" s="242"/>
      <c r="RT4" s="242"/>
      <c r="RU4" s="242"/>
      <c r="RV4" s="242"/>
      <c r="RW4" s="242"/>
      <c r="RX4" s="242"/>
      <c r="RY4" s="242"/>
      <c r="RZ4" s="242"/>
      <c r="SA4" s="242"/>
      <c r="SB4" s="242"/>
      <c r="SC4" s="242"/>
      <c r="SD4" s="242"/>
      <c r="SE4" s="242"/>
      <c r="SF4" s="242"/>
      <c r="SG4" s="242"/>
      <c r="SH4" s="242"/>
      <c r="SI4" s="242"/>
      <c r="SJ4" s="242"/>
      <c r="SK4" s="242"/>
      <c r="SL4" s="242"/>
      <c r="SM4" s="242"/>
      <c r="SN4" s="242"/>
    </row>
    <row r="5" spans="2:508">
      <c r="B5" s="141" t="s">
        <v>256</v>
      </c>
      <c r="C5" s="141" t="s">
        <v>257</v>
      </c>
      <c r="D5" s="157" t="s">
        <v>7</v>
      </c>
      <c r="E5" s="166">
        <v>45117</v>
      </c>
      <c r="F5" s="165">
        <v>60</v>
      </c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  <c r="KT5" s="64"/>
      <c r="KU5" s="64"/>
      <c r="KV5" s="64"/>
      <c r="KW5" s="64"/>
      <c r="KX5" s="64"/>
      <c r="KY5" s="64"/>
      <c r="KZ5" s="64"/>
      <c r="LA5" s="64"/>
      <c r="LB5" s="64"/>
      <c r="LC5" s="64"/>
      <c r="LD5" s="64"/>
      <c r="LE5" s="64"/>
      <c r="LF5" s="64"/>
      <c r="LG5" s="64"/>
      <c r="LH5" s="64"/>
      <c r="LI5" s="64"/>
      <c r="LJ5" s="64"/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64"/>
      <c r="MJ5" s="64"/>
      <c r="MK5" s="64"/>
      <c r="ML5" s="64"/>
      <c r="MM5" s="64"/>
      <c r="MN5" s="64"/>
      <c r="MO5" s="64"/>
      <c r="MP5" s="64"/>
      <c r="MQ5" s="64"/>
      <c r="MR5" s="64"/>
      <c r="MS5" s="64"/>
      <c r="MT5" s="64"/>
      <c r="MU5" s="64"/>
      <c r="MV5" s="64"/>
      <c r="MW5" s="64"/>
      <c r="MX5" s="64"/>
      <c r="MY5" s="64"/>
      <c r="MZ5" s="64"/>
      <c r="NA5" s="64"/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64"/>
      <c r="OR5" s="64"/>
      <c r="OS5" s="64"/>
      <c r="OT5" s="64"/>
      <c r="OU5" s="64"/>
      <c r="OV5" s="64"/>
      <c r="OW5" s="64"/>
      <c r="OX5" s="64"/>
      <c r="OY5" s="64"/>
      <c r="OZ5" s="64"/>
      <c r="PA5" s="64"/>
      <c r="PB5" s="64"/>
      <c r="PC5" s="64"/>
      <c r="PD5" s="64"/>
      <c r="PE5" s="64"/>
      <c r="PF5" s="64"/>
      <c r="PG5" s="64"/>
      <c r="PH5" s="64"/>
      <c r="PI5" s="64"/>
      <c r="PJ5" s="64"/>
      <c r="PK5" s="64"/>
      <c r="PL5" s="64"/>
      <c r="PM5" s="64"/>
      <c r="PN5" s="64"/>
      <c r="PO5" s="64"/>
      <c r="PP5" s="64"/>
      <c r="PQ5" s="64"/>
      <c r="PR5" s="64"/>
      <c r="PS5" s="64"/>
      <c r="PT5" s="64"/>
      <c r="PU5" s="64"/>
      <c r="PV5" s="64"/>
      <c r="PW5" s="64"/>
      <c r="PX5" s="64"/>
      <c r="PY5" s="64"/>
      <c r="PZ5" s="64"/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64"/>
      <c r="QZ5" s="64"/>
      <c r="RA5" s="64"/>
      <c r="RB5" s="64"/>
      <c r="RC5" s="64"/>
      <c r="RD5" s="64"/>
      <c r="RE5" s="64"/>
      <c r="RF5" s="64"/>
      <c r="RG5" s="64"/>
      <c r="RH5" s="64"/>
      <c r="RI5" s="64"/>
      <c r="RJ5" s="64"/>
      <c r="RK5" s="64"/>
      <c r="RL5" s="64"/>
      <c r="RM5" s="64"/>
      <c r="RN5" s="64"/>
      <c r="RO5" s="64"/>
      <c r="RP5" s="64"/>
      <c r="RQ5" s="64"/>
      <c r="RR5" s="64"/>
      <c r="RS5" s="64"/>
      <c r="RT5" s="64"/>
      <c r="RU5" s="64"/>
      <c r="RV5" s="64"/>
      <c r="RW5" s="64"/>
      <c r="RX5" s="64"/>
      <c r="RY5" s="64"/>
      <c r="RZ5" s="64"/>
      <c r="SA5" s="64"/>
      <c r="SB5" s="64"/>
      <c r="SC5" s="64"/>
      <c r="SD5" s="64"/>
      <c r="SE5" s="64"/>
      <c r="SF5" s="64"/>
      <c r="SG5" s="64"/>
      <c r="SH5" s="64"/>
      <c r="SI5" s="64"/>
      <c r="SJ5" s="64"/>
      <c r="SK5" s="64"/>
      <c r="SL5" s="64"/>
      <c r="SM5" s="64"/>
      <c r="SN5" s="64"/>
    </row>
    <row r="6" spans="2:508">
      <c r="B6" s="141" t="s">
        <v>256</v>
      </c>
      <c r="C6" s="141" t="s">
        <v>257</v>
      </c>
      <c r="D6" s="157" t="s">
        <v>7</v>
      </c>
      <c r="E6" s="149"/>
      <c r="F6" s="1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</row>
    <row r="7" spans="2:508">
      <c r="B7" s="141" t="s">
        <v>256</v>
      </c>
      <c r="C7" s="141" t="s">
        <v>257</v>
      </c>
      <c r="D7" s="157" t="s">
        <v>7</v>
      </c>
      <c r="E7" s="167"/>
      <c r="F7" s="1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  <c r="KT7" s="64"/>
      <c r="KU7" s="64"/>
      <c r="KV7" s="64"/>
      <c r="KW7" s="64"/>
      <c r="KX7" s="64"/>
      <c r="KY7" s="64"/>
      <c r="KZ7" s="64"/>
      <c r="LA7" s="64"/>
      <c r="LB7" s="64"/>
      <c r="LC7" s="64"/>
      <c r="LD7" s="64"/>
      <c r="LE7" s="64"/>
      <c r="LF7" s="64"/>
      <c r="LG7" s="64"/>
      <c r="LH7" s="64"/>
      <c r="LI7" s="64"/>
      <c r="LJ7" s="64"/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64"/>
      <c r="MJ7" s="64"/>
      <c r="MK7" s="64"/>
      <c r="ML7" s="64"/>
      <c r="MM7" s="64"/>
      <c r="MN7" s="64"/>
      <c r="MO7" s="64"/>
      <c r="MP7" s="64"/>
      <c r="MQ7" s="64"/>
      <c r="MR7" s="64"/>
      <c r="MS7" s="64"/>
      <c r="MT7" s="64"/>
      <c r="MU7" s="64"/>
      <c r="MV7" s="64"/>
      <c r="MW7" s="64"/>
      <c r="MX7" s="64"/>
      <c r="MY7" s="64"/>
      <c r="MZ7" s="64"/>
      <c r="NA7" s="64"/>
      <c r="NB7" s="64"/>
      <c r="NC7" s="64"/>
      <c r="ND7" s="64"/>
      <c r="NE7" s="64"/>
      <c r="NF7" s="64"/>
      <c r="NG7" s="64"/>
      <c r="NH7" s="64"/>
      <c r="NI7" s="64"/>
      <c r="NJ7" s="64"/>
      <c r="NK7" s="64"/>
      <c r="NL7" s="64"/>
      <c r="NM7" s="64"/>
      <c r="NN7" s="64"/>
      <c r="NO7" s="64"/>
      <c r="NP7" s="64"/>
      <c r="NQ7" s="64"/>
      <c r="NR7" s="64"/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64"/>
      <c r="OR7" s="64"/>
      <c r="OS7" s="64"/>
      <c r="OT7" s="64"/>
      <c r="OU7" s="64"/>
      <c r="OV7" s="64"/>
      <c r="OW7" s="64"/>
      <c r="OX7" s="64"/>
      <c r="OY7" s="64"/>
      <c r="OZ7" s="64"/>
      <c r="PA7" s="64"/>
      <c r="PB7" s="64"/>
      <c r="PC7" s="64"/>
      <c r="PD7" s="64"/>
      <c r="PE7" s="64"/>
      <c r="PF7" s="64"/>
      <c r="PG7" s="64"/>
      <c r="PH7" s="64"/>
      <c r="PI7" s="64"/>
      <c r="PJ7" s="64"/>
      <c r="PK7" s="64"/>
      <c r="PL7" s="64"/>
      <c r="PM7" s="64"/>
      <c r="PN7" s="64"/>
      <c r="PO7" s="64"/>
      <c r="PP7" s="64"/>
      <c r="PQ7" s="64"/>
      <c r="PR7" s="64"/>
      <c r="PS7" s="64"/>
      <c r="PT7" s="64"/>
      <c r="PU7" s="64"/>
      <c r="PV7" s="64"/>
      <c r="PW7" s="64"/>
      <c r="PX7" s="64"/>
      <c r="PY7" s="64"/>
      <c r="PZ7" s="64"/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64"/>
      <c r="QZ7" s="64"/>
      <c r="RA7" s="64"/>
      <c r="RB7" s="64"/>
      <c r="RC7" s="64"/>
      <c r="RD7" s="64"/>
      <c r="RE7" s="64"/>
      <c r="RF7" s="64"/>
      <c r="RG7" s="64"/>
      <c r="RH7" s="64"/>
      <c r="RI7" s="64"/>
      <c r="RJ7" s="64"/>
      <c r="RK7" s="64"/>
      <c r="RL7" s="64"/>
      <c r="RM7" s="64"/>
      <c r="RN7" s="64"/>
      <c r="RO7" s="64"/>
      <c r="RP7" s="64"/>
      <c r="RQ7" s="64"/>
      <c r="RR7" s="64"/>
      <c r="RS7" s="64"/>
      <c r="RT7" s="64"/>
      <c r="RU7" s="64"/>
      <c r="RV7" s="64"/>
      <c r="RW7" s="64"/>
      <c r="RX7" s="64"/>
      <c r="RY7" s="64"/>
      <c r="RZ7" s="64"/>
      <c r="SA7" s="64"/>
      <c r="SB7" s="64"/>
      <c r="SC7" s="64"/>
      <c r="SD7" s="64"/>
      <c r="SE7" s="64"/>
      <c r="SF7" s="64"/>
      <c r="SG7" s="64"/>
      <c r="SH7" s="64"/>
      <c r="SI7" s="64"/>
      <c r="SJ7" s="64"/>
      <c r="SK7" s="64"/>
      <c r="SL7" s="64"/>
      <c r="SM7" s="64"/>
      <c r="SN7" s="64"/>
    </row>
    <row r="8" spans="2:508" ht="15" customHeight="1">
      <c r="B8" s="168" t="s">
        <v>258</v>
      </c>
      <c r="C8" s="169"/>
      <c r="D8" s="169"/>
      <c r="E8" s="169"/>
      <c r="F8" s="170"/>
    </row>
    <row r="9" spans="2:508" ht="15" customHeight="1">
      <c r="B9" s="168" t="s">
        <v>259</v>
      </c>
      <c r="C9" s="169"/>
      <c r="D9" s="169"/>
      <c r="E9" s="169"/>
      <c r="F9" s="170"/>
      <c r="G9" s="84" t="str">
        <f>+IF(COUNTIF(G5:G7,"X")+COUNTIF(G5:G7,"IC")&gt;0,"C","")</f>
        <v/>
      </c>
      <c r="H9" s="84" t="str">
        <f t="shared" ref="H9:BS9" si="0">+IF(COUNTIF(H5:H7,"X")+COUNTIF(H5:H7,"IC")&gt;0,"C","")</f>
        <v/>
      </c>
      <c r="I9" s="84" t="str">
        <f t="shared" si="0"/>
        <v/>
      </c>
      <c r="J9" s="84" t="str">
        <f t="shared" si="0"/>
        <v/>
      </c>
      <c r="K9" s="84" t="str">
        <f t="shared" si="0"/>
        <v/>
      </c>
      <c r="L9" s="84" t="str">
        <f t="shared" si="0"/>
        <v/>
      </c>
      <c r="M9" s="84" t="str">
        <f t="shared" si="0"/>
        <v/>
      </c>
      <c r="N9" s="84" t="str">
        <f t="shared" si="0"/>
        <v/>
      </c>
      <c r="O9" s="84" t="str">
        <f t="shared" si="0"/>
        <v/>
      </c>
      <c r="P9" s="84" t="str">
        <f t="shared" si="0"/>
        <v/>
      </c>
      <c r="Q9" s="84" t="str">
        <f t="shared" si="0"/>
        <v/>
      </c>
      <c r="R9" s="84" t="str">
        <f t="shared" si="0"/>
        <v/>
      </c>
      <c r="S9" s="84" t="str">
        <f t="shared" si="0"/>
        <v/>
      </c>
      <c r="T9" s="84" t="str">
        <f t="shared" si="0"/>
        <v/>
      </c>
      <c r="U9" s="84" t="str">
        <f t="shared" si="0"/>
        <v/>
      </c>
      <c r="V9" s="84" t="str">
        <f t="shared" si="0"/>
        <v/>
      </c>
      <c r="W9" s="84" t="str">
        <f t="shared" si="0"/>
        <v/>
      </c>
      <c r="X9" s="84" t="str">
        <f t="shared" si="0"/>
        <v/>
      </c>
      <c r="Y9" s="84" t="str">
        <f t="shared" si="0"/>
        <v/>
      </c>
      <c r="Z9" s="84" t="str">
        <f t="shared" si="0"/>
        <v/>
      </c>
      <c r="AA9" s="84" t="str">
        <f t="shared" si="0"/>
        <v/>
      </c>
      <c r="AB9" s="84" t="str">
        <f t="shared" si="0"/>
        <v/>
      </c>
      <c r="AC9" s="84" t="str">
        <f t="shared" si="0"/>
        <v/>
      </c>
      <c r="AD9" s="84" t="str">
        <f t="shared" si="0"/>
        <v/>
      </c>
      <c r="AE9" s="84" t="str">
        <f t="shared" si="0"/>
        <v/>
      </c>
      <c r="AF9" s="84" t="str">
        <f t="shared" si="0"/>
        <v/>
      </c>
      <c r="AG9" s="84" t="str">
        <f t="shared" si="0"/>
        <v/>
      </c>
      <c r="AH9" s="84" t="str">
        <f t="shared" si="0"/>
        <v/>
      </c>
      <c r="AI9" s="84" t="str">
        <f t="shared" si="0"/>
        <v/>
      </c>
      <c r="AJ9" s="84" t="str">
        <f t="shared" si="0"/>
        <v/>
      </c>
      <c r="AK9" s="84" t="str">
        <f t="shared" si="0"/>
        <v/>
      </c>
      <c r="AL9" s="84" t="str">
        <f t="shared" si="0"/>
        <v/>
      </c>
      <c r="AM9" s="84" t="str">
        <f t="shared" si="0"/>
        <v/>
      </c>
      <c r="AN9" s="84" t="str">
        <f t="shared" si="0"/>
        <v/>
      </c>
      <c r="AO9" s="84" t="str">
        <f t="shared" si="0"/>
        <v/>
      </c>
      <c r="AP9" s="84" t="str">
        <f t="shared" si="0"/>
        <v/>
      </c>
      <c r="AQ9" s="84" t="str">
        <f t="shared" si="0"/>
        <v/>
      </c>
      <c r="AR9" s="84" t="str">
        <f t="shared" si="0"/>
        <v/>
      </c>
      <c r="AS9" s="84" t="str">
        <f t="shared" si="0"/>
        <v/>
      </c>
      <c r="AT9" s="84" t="str">
        <f t="shared" si="0"/>
        <v/>
      </c>
      <c r="AU9" s="84" t="str">
        <f t="shared" si="0"/>
        <v/>
      </c>
      <c r="AV9" s="84" t="str">
        <f t="shared" si="0"/>
        <v/>
      </c>
      <c r="AW9" s="84" t="str">
        <f t="shared" si="0"/>
        <v/>
      </c>
      <c r="AX9" s="84" t="str">
        <f t="shared" si="0"/>
        <v/>
      </c>
      <c r="AY9" s="84" t="str">
        <f t="shared" si="0"/>
        <v/>
      </c>
      <c r="AZ9" s="84" t="str">
        <f t="shared" si="0"/>
        <v/>
      </c>
      <c r="BA9" s="84" t="str">
        <f t="shared" si="0"/>
        <v/>
      </c>
      <c r="BB9" s="84" t="str">
        <f t="shared" si="0"/>
        <v/>
      </c>
      <c r="BC9" s="84" t="str">
        <f t="shared" si="0"/>
        <v/>
      </c>
      <c r="BD9" s="84" t="str">
        <f t="shared" si="0"/>
        <v/>
      </c>
      <c r="BE9" s="84" t="str">
        <f t="shared" si="0"/>
        <v/>
      </c>
      <c r="BF9" s="84" t="str">
        <f t="shared" si="0"/>
        <v/>
      </c>
      <c r="BG9" s="84" t="str">
        <f t="shared" si="0"/>
        <v/>
      </c>
      <c r="BH9" s="84" t="str">
        <f t="shared" si="0"/>
        <v/>
      </c>
      <c r="BI9" s="84" t="str">
        <f t="shared" si="0"/>
        <v/>
      </c>
      <c r="BJ9" s="84" t="str">
        <f t="shared" si="0"/>
        <v/>
      </c>
      <c r="BK9" s="84" t="str">
        <f t="shared" si="0"/>
        <v/>
      </c>
      <c r="BL9" s="84" t="str">
        <f t="shared" si="0"/>
        <v/>
      </c>
      <c r="BM9" s="84" t="str">
        <f t="shared" si="0"/>
        <v/>
      </c>
      <c r="BN9" s="84" t="str">
        <f t="shared" si="0"/>
        <v/>
      </c>
      <c r="BO9" s="84" t="str">
        <f t="shared" si="0"/>
        <v/>
      </c>
      <c r="BP9" s="84" t="str">
        <f t="shared" si="0"/>
        <v/>
      </c>
      <c r="BQ9" s="84" t="str">
        <f t="shared" si="0"/>
        <v/>
      </c>
      <c r="BR9" s="84" t="str">
        <f t="shared" si="0"/>
        <v/>
      </c>
      <c r="BS9" s="84" t="str">
        <f t="shared" si="0"/>
        <v/>
      </c>
      <c r="BT9" s="84" t="str">
        <f t="shared" ref="BT9:EE9" si="1">+IF(COUNTIF(BT5:BT7,"X")+COUNTIF(BT5:BT7,"IC")&gt;0,"C","")</f>
        <v/>
      </c>
      <c r="BU9" s="84" t="str">
        <f t="shared" si="1"/>
        <v/>
      </c>
      <c r="BV9" s="84" t="str">
        <f t="shared" si="1"/>
        <v/>
      </c>
      <c r="BW9" s="84" t="str">
        <f t="shared" si="1"/>
        <v/>
      </c>
      <c r="BX9" s="84" t="str">
        <f t="shared" si="1"/>
        <v/>
      </c>
      <c r="BY9" s="84" t="str">
        <f t="shared" si="1"/>
        <v/>
      </c>
      <c r="BZ9" s="84" t="str">
        <f t="shared" si="1"/>
        <v/>
      </c>
      <c r="CA9" s="84" t="str">
        <f t="shared" si="1"/>
        <v/>
      </c>
      <c r="CB9" s="84" t="str">
        <f t="shared" si="1"/>
        <v/>
      </c>
      <c r="CC9" s="84" t="str">
        <f t="shared" si="1"/>
        <v/>
      </c>
      <c r="CD9" s="84" t="str">
        <f t="shared" si="1"/>
        <v/>
      </c>
      <c r="CE9" s="84" t="str">
        <f t="shared" si="1"/>
        <v/>
      </c>
      <c r="CF9" s="84" t="str">
        <f t="shared" si="1"/>
        <v/>
      </c>
      <c r="CG9" s="84" t="str">
        <f t="shared" si="1"/>
        <v/>
      </c>
      <c r="CH9" s="84" t="str">
        <f t="shared" si="1"/>
        <v/>
      </c>
      <c r="CI9" s="84" t="str">
        <f t="shared" si="1"/>
        <v/>
      </c>
      <c r="CJ9" s="84" t="str">
        <f t="shared" si="1"/>
        <v/>
      </c>
      <c r="CK9" s="84" t="str">
        <f t="shared" si="1"/>
        <v/>
      </c>
      <c r="CL9" s="84" t="str">
        <f t="shared" si="1"/>
        <v/>
      </c>
      <c r="CM9" s="84" t="str">
        <f t="shared" si="1"/>
        <v/>
      </c>
      <c r="CN9" s="84" t="str">
        <f t="shared" si="1"/>
        <v/>
      </c>
      <c r="CO9" s="84" t="str">
        <f t="shared" si="1"/>
        <v/>
      </c>
      <c r="CP9" s="84" t="str">
        <f t="shared" si="1"/>
        <v/>
      </c>
      <c r="CQ9" s="84" t="str">
        <f t="shared" si="1"/>
        <v/>
      </c>
      <c r="CR9" s="84" t="str">
        <f t="shared" si="1"/>
        <v/>
      </c>
      <c r="CS9" s="84" t="str">
        <f t="shared" si="1"/>
        <v/>
      </c>
      <c r="CT9" s="84" t="str">
        <f t="shared" si="1"/>
        <v/>
      </c>
      <c r="CU9" s="84" t="str">
        <f t="shared" si="1"/>
        <v/>
      </c>
      <c r="CV9" s="84" t="str">
        <f t="shared" si="1"/>
        <v/>
      </c>
      <c r="CW9" s="84" t="str">
        <f t="shared" si="1"/>
        <v/>
      </c>
      <c r="CX9" s="84" t="str">
        <f t="shared" si="1"/>
        <v/>
      </c>
      <c r="CY9" s="84" t="str">
        <f t="shared" si="1"/>
        <v/>
      </c>
      <c r="CZ9" s="84" t="str">
        <f t="shared" si="1"/>
        <v/>
      </c>
      <c r="DA9" s="84" t="str">
        <f t="shared" si="1"/>
        <v/>
      </c>
      <c r="DB9" s="84" t="str">
        <f t="shared" si="1"/>
        <v/>
      </c>
      <c r="DC9" s="84" t="str">
        <f t="shared" si="1"/>
        <v/>
      </c>
      <c r="DD9" s="84" t="str">
        <f t="shared" si="1"/>
        <v/>
      </c>
      <c r="DE9" s="84" t="str">
        <f t="shared" si="1"/>
        <v/>
      </c>
      <c r="DF9" s="84" t="str">
        <f t="shared" si="1"/>
        <v/>
      </c>
      <c r="DG9" s="84" t="str">
        <f t="shared" si="1"/>
        <v/>
      </c>
      <c r="DH9" s="84" t="str">
        <f t="shared" si="1"/>
        <v/>
      </c>
      <c r="DI9" s="84" t="str">
        <f t="shared" si="1"/>
        <v/>
      </c>
      <c r="DJ9" s="84" t="str">
        <f t="shared" si="1"/>
        <v/>
      </c>
      <c r="DK9" s="84" t="str">
        <f t="shared" si="1"/>
        <v/>
      </c>
      <c r="DL9" s="84" t="str">
        <f t="shared" si="1"/>
        <v/>
      </c>
      <c r="DM9" s="84" t="str">
        <f t="shared" si="1"/>
        <v/>
      </c>
      <c r="DN9" s="84" t="str">
        <f t="shared" si="1"/>
        <v/>
      </c>
      <c r="DO9" s="84" t="str">
        <f t="shared" si="1"/>
        <v/>
      </c>
      <c r="DP9" s="84" t="str">
        <f t="shared" si="1"/>
        <v/>
      </c>
      <c r="DQ9" s="84" t="str">
        <f t="shared" si="1"/>
        <v/>
      </c>
      <c r="DR9" s="84" t="str">
        <f t="shared" si="1"/>
        <v/>
      </c>
      <c r="DS9" s="84" t="str">
        <f t="shared" si="1"/>
        <v/>
      </c>
      <c r="DT9" s="84" t="str">
        <f t="shared" si="1"/>
        <v/>
      </c>
      <c r="DU9" s="84" t="str">
        <f t="shared" si="1"/>
        <v/>
      </c>
      <c r="DV9" s="84" t="str">
        <f t="shared" si="1"/>
        <v/>
      </c>
      <c r="DW9" s="84" t="str">
        <f t="shared" si="1"/>
        <v/>
      </c>
      <c r="DX9" s="84" t="str">
        <f t="shared" si="1"/>
        <v/>
      </c>
      <c r="DY9" s="84" t="str">
        <f t="shared" si="1"/>
        <v/>
      </c>
      <c r="DZ9" s="84" t="str">
        <f t="shared" si="1"/>
        <v/>
      </c>
      <c r="EA9" s="84" t="str">
        <f t="shared" si="1"/>
        <v/>
      </c>
      <c r="EB9" s="84" t="str">
        <f t="shared" si="1"/>
        <v/>
      </c>
      <c r="EC9" s="84" t="str">
        <f t="shared" si="1"/>
        <v/>
      </c>
      <c r="ED9" s="84" t="str">
        <f t="shared" si="1"/>
        <v/>
      </c>
      <c r="EE9" s="84" t="str">
        <f t="shared" si="1"/>
        <v/>
      </c>
      <c r="EF9" s="84" t="str">
        <f t="shared" ref="EF9:GQ9" si="2">+IF(COUNTIF(EF5:EF7,"X")+COUNTIF(EF5:EF7,"IC")&gt;0,"C","")</f>
        <v/>
      </c>
      <c r="EG9" s="84" t="str">
        <f t="shared" si="2"/>
        <v/>
      </c>
      <c r="EH9" s="84" t="str">
        <f t="shared" si="2"/>
        <v/>
      </c>
      <c r="EI9" s="84" t="str">
        <f t="shared" si="2"/>
        <v/>
      </c>
      <c r="EJ9" s="84" t="str">
        <f t="shared" si="2"/>
        <v/>
      </c>
      <c r="EK9" s="84" t="str">
        <f t="shared" si="2"/>
        <v/>
      </c>
      <c r="EL9" s="84" t="str">
        <f t="shared" si="2"/>
        <v/>
      </c>
      <c r="EM9" s="84" t="str">
        <f t="shared" si="2"/>
        <v/>
      </c>
      <c r="EN9" s="84" t="str">
        <f t="shared" si="2"/>
        <v/>
      </c>
      <c r="EO9" s="84" t="str">
        <f t="shared" si="2"/>
        <v/>
      </c>
      <c r="EP9" s="84" t="str">
        <f t="shared" si="2"/>
        <v/>
      </c>
      <c r="EQ9" s="84" t="str">
        <f t="shared" si="2"/>
        <v/>
      </c>
      <c r="ER9" s="84" t="str">
        <f t="shared" si="2"/>
        <v/>
      </c>
      <c r="ES9" s="84" t="str">
        <f t="shared" si="2"/>
        <v/>
      </c>
      <c r="ET9" s="84" t="str">
        <f t="shared" si="2"/>
        <v/>
      </c>
      <c r="EU9" s="84" t="str">
        <f t="shared" si="2"/>
        <v/>
      </c>
      <c r="EV9" s="84" t="str">
        <f t="shared" si="2"/>
        <v/>
      </c>
      <c r="EW9" s="84" t="str">
        <f t="shared" si="2"/>
        <v/>
      </c>
      <c r="EX9" s="84" t="str">
        <f t="shared" si="2"/>
        <v/>
      </c>
      <c r="EY9" s="84" t="str">
        <f t="shared" si="2"/>
        <v/>
      </c>
      <c r="EZ9" s="84" t="str">
        <f t="shared" si="2"/>
        <v/>
      </c>
      <c r="FA9" s="84" t="str">
        <f t="shared" si="2"/>
        <v/>
      </c>
      <c r="FB9" s="84" t="str">
        <f t="shared" si="2"/>
        <v/>
      </c>
      <c r="FC9" s="84" t="str">
        <f t="shared" si="2"/>
        <v/>
      </c>
      <c r="FD9" s="84" t="str">
        <f t="shared" si="2"/>
        <v/>
      </c>
      <c r="FE9" s="84" t="str">
        <f t="shared" si="2"/>
        <v/>
      </c>
      <c r="FF9" s="84" t="str">
        <f t="shared" si="2"/>
        <v/>
      </c>
      <c r="FG9" s="84" t="str">
        <f t="shared" si="2"/>
        <v/>
      </c>
      <c r="FH9" s="84" t="str">
        <f t="shared" si="2"/>
        <v/>
      </c>
      <c r="FI9" s="84" t="str">
        <f t="shared" si="2"/>
        <v/>
      </c>
      <c r="FJ9" s="84" t="str">
        <f t="shared" si="2"/>
        <v/>
      </c>
      <c r="FK9" s="84" t="str">
        <f t="shared" si="2"/>
        <v/>
      </c>
      <c r="FL9" s="84" t="str">
        <f t="shared" si="2"/>
        <v/>
      </c>
      <c r="FM9" s="84" t="str">
        <f t="shared" si="2"/>
        <v/>
      </c>
      <c r="FN9" s="84" t="str">
        <f t="shared" si="2"/>
        <v/>
      </c>
      <c r="FO9" s="84" t="str">
        <f t="shared" si="2"/>
        <v/>
      </c>
      <c r="FP9" s="84" t="str">
        <f t="shared" si="2"/>
        <v/>
      </c>
      <c r="FQ9" s="84" t="str">
        <f t="shared" si="2"/>
        <v/>
      </c>
      <c r="FR9" s="84" t="str">
        <f t="shared" si="2"/>
        <v/>
      </c>
      <c r="FS9" s="84" t="str">
        <f t="shared" si="2"/>
        <v/>
      </c>
      <c r="FT9" s="84" t="str">
        <f t="shared" si="2"/>
        <v/>
      </c>
      <c r="FU9" s="84" t="str">
        <f t="shared" si="2"/>
        <v/>
      </c>
      <c r="FV9" s="84" t="str">
        <f t="shared" si="2"/>
        <v/>
      </c>
      <c r="FW9" s="84" t="str">
        <f t="shared" si="2"/>
        <v/>
      </c>
      <c r="FX9" s="84" t="str">
        <f t="shared" si="2"/>
        <v/>
      </c>
      <c r="FY9" s="84" t="str">
        <f t="shared" si="2"/>
        <v/>
      </c>
      <c r="FZ9" s="84" t="str">
        <f t="shared" si="2"/>
        <v/>
      </c>
      <c r="GA9" s="84" t="str">
        <f t="shared" si="2"/>
        <v/>
      </c>
      <c r="GB9" s="84" t="str">
        <f t="shared" si="2"/>
        <v/>
      </c>
      <c r="GC9" s="84" t="str">
        <f t="shared" si="2"/>
        <v/>
      </c>
      <c r="GD9" s="84" t="str">
        <f t="shared" si="2"/>
        <v/>
      </c>
      <c r="GE9" s="84" t="str">
        <f t="shared" si="2"/>
        <v/>
      </c>
      <c r="GF9" s="84" t="str">
        <f t="shared" si="2"/>
        <v/>
      </c>
      <c r="GG9" s="84" t="str">
        <f t="shared" si="2"/>
        <v/>
      </c>
      <c r="GH9" s="84" t="str">
        <f t="shared" si="2"/>
        <v/>
      </c>
      <c r="GI9" s="84" t="str">
        <f t="shared" si="2"/>
        <v/>
      </c>
      <c r="GJ9" s="84" t="str">
        <f t="shared" si="2"/>
        <v/>
      </c>
      <c r="GK9" s="84" t="str">
        <f t="shared" si="2"/>
        <v/>
      </c>
      <c r="GL9" s="84" t="str">
        <f t="shared" si="2"/>
        <v/>
      </c>
      <c r="GM9" s="84" t="str">
        <f t="shared" si="2"/>
        <v/>
      </c>
      <c r="GN9" s="84" t="str">
        <f t="shared" si="2"/>
        <v/>
      </c>
      <c r="GO9" s="84" t="str">
        <f t="shared" si="2"/>
        <v/>
      </c>
      <c r="GP9" s="84" t="str">
        <f t="shared" si="2"/>
        <v/>
      </c>
      <c r="GQ9" s="84" t="str">
        <f t="shared" si="2"/>
        <v/>
      </c>
      <c r="GR9" s="84" t="str">
        <f t="shared" ref="GR9:JC9" si="3">+IF(COUNTIF(GR5:GR7,"X")+COUNTIF(GR5:GR7,"IC")&gt;0,"C","")</f>
        <v/>
      </c>
      <c r="GS9" s="84" t="str">
        <f t="shared" si="3"/>
        <v/>
      </c>
      <c r="GT9" s="84" t="str">
        <f t="shared" si="3"/>
        <v/>
      </c>
      <c r="GU9" s="84" t="str">
        <f t="shared" si="3"/>
        <v/>
      </c>
      <c r="GV9" s="84" t="str">
        <f t="shared" si="3"/>
        <v/>
      </c>
      <c r="GW9" s="84" t="str">
        <f t="shared" si="3"/>
        <v/>
      </c>
      <c r="GX9" s="84" t="str">
        <f t="shared" si="3"/>
        <v/>
      </c>
      <c r="GY9" s="84" t="str">
        <f t="shared" si="3"/>
        <v/>
      </c>
      <c r="GZ9" s="84" t="str">
        <f t="shared" si="3"/>
        <v/>
      </c>
      <c r="HA9" s="84" t="str">
        <f t="shared" si="3"/>
        <v/>
      </c>
      <c r="HB9" s="84" t="str">
        <f t="shared" si="3"/>
        <v/>
      </c>
      <c r="HC9" s="84" t="str">
        <f t="shared" si="3"/>
        <v/>
      </c>
      <c r="HD9" s="84" t="str">
        <f t="shared" si="3"/>
        <v/>
      </c>
      <c r="HE9" s="84" t="str">
        <f t="shared" si="3"/>
        <v/>
      </c>
      <c r="HF9" s="84" t="str">
        <f t="shared" si="3"/>
        <v/>
      </c>
      <c r="HG9" s="84" t="str">
        <f t="shared" si="3"/>
        <v/>
      </c>
      <c r="HH9" s="84" t="str">
        <f t="shared" si="3"/>
        <v/>
      </c>
      <c r="HI9" s="84" t="str">
        <f t="shared" si="3"/>
        <v/>
      </c>
      <c r="HJ9" s="84" t="str">
        <f t="shared" si="3"/>
        <v/>
      </c>
      <c r="HK9" s="84" t="str">
        <f t="shared" si="3"/>
        <v/>
      </c>
      <c r="HL9" s="84" t="str">
        <f t="shared" si="3"/>
        <v/>
      </c>
      <c r="HM9" s="84" t="str">
        <f t="shared" si="3"/>
        <v/>
      </c>
      <c r="HN9" s="84" t="str">
        <f t="shared" si="3"/>
        <v/>
      </c>
      <c r="HO9" s="84" t="str">
        <f t="shared" si="3"/>
        <v/>
      </c>
      <c r="HP9" s="84" t="str">
        <f t="shared" si="3"/>
        <v/>
      </c>
      <c r="HQ9" s="84" t="str">
        <f t="shared" si="3"/>
        <v/>
      </c>
      <c r="HR9" s="84" t="str">
        <f t="shared" si="3"/>
        <v/>
      </c>
      <c r="HS9" s="84" t="str">
        <f t="shared" si="3"/>
        <v/>
      </c>
      <c r="HT9" s="84" t="str">
        <f t="shared" si="3"/>
        <v/>
      </c>
      <c r="HU9" s="84" t="str">
        <f t="shared" si="3"/>
        <v/>
      </c>
      <c r="HV9" s="84" t="str">
        <f t="shared" si="3"/>
        <v/>
      </c>
      <c r="HW9" s="84" t="str">
        <f t="shared" si="3"/>
        <v/>
      </c>
      <c r="HX9" s="84" t="str">
        <f t="shared" si="3"/>
        <v/>
      </c>
      <c r="HY9" s="84" t="str">
        <f t="shared" si="3"/>
        <v/>
      </c>
      <c r="HZ9" s="84" t="str">
        <f t="shared" si="3"/>
        <v/>
      </c>
      <c r="IA9" s="84" t="str">
        <f t="shared" si="3"/>
        <v/>
      </c>
      <c r="IB9" s="84" t="str">
        <f t="shared" si="3"/>
        <v/>
      </c>
      <c r="IC9" s="84" t="str">
        <f t="shared" si="3"/>
        <v/>
      </c>
      <c r="ID9" s="84" t="str">
        <f t="shared" si="3"/>
        <v/>
      </c>
      <c r="IE9" s="84" t="str">
        <f t="shared" si="3"/>
        <v/>
      </c>
      <c r="IF9" s="84" t="str">
        <f t="shared" si="3"/>
        <v/>
      </c>
      <c r="IG9" s="84" t="str">
        <f t="shared" si="3"/>
        <v/>
      </c>
      <c r="IH9" s="84" t="str">
        <f t="shared" si="3"/>
        <v/>
      </c>
      <c r="II9" s="84" t="str">
        <f t="shared" si="3"/>
        <v/>
      </c>
      <c r="IJ9" s="84" t="str">
        <f t="shared" si="3"/>
        <v/>
      </c>
      <c r="IK9" s="84" t="str">
        <f t="shared" si="3"/>
        <v/>
      </c>
      <c r="IL9" s="84" t="str">
        <f t="shared" si="3"/>
        <v/>
      </c>
      <c r="IM9" s="84" t="str">
        <f t="shared" si="3"/>
        <v/>
      </c>
      <c r="IN9" s="84" t="str">
        <f t="shared" si="3"/>
        <v/>
      </c>
      <c r="IO9" s="84" t="str">
        <f t="shared" si="3"/>
        <v/>
      </c>
      <c r="IP9" s="84" t="str">
        <f t="shared" si="3"/>
        <v/>
      </c>
      <c r="IQ9" s="84" t="str">
        <f t="shared" si="3"/>
        <v/>
      </c>
      <c r="IR9" s="84" t="str">
        <f t="shared" si="3"/>
        <v/>
      </c>
      <c r="IS9" s="84" t="str">
        <f t="shared" si="3"/>
        <v/>
      </c>
      <c r="IT9" s="84" t="str">
        <f t="shared" si="3"/>
        <v/>
      </c>
      <c r="IU9" s="84" t="str">
        <f t="shared" si="3"/>
        <v/>
      </c>
      <c r="IV9" s="84" t="str">
        <f t="shared" si="3"/>
        <v/>
      </c>
      <c r="IW9" s="84" t="str">
        <f t="shared" si="3"/>
        <v/>
      </c>
      <c r="IX9" s="84" t="str">
        <f t="shared" si="3"/>
        <v/>
      </c>
      <c r="IY9" s="84" t="str">
        <f t="shared" si="3"/>
        <v/>
      </c>
      <c r="IZ9" s="84" t="str">
        <f t="shared" si="3"/>
        <v/>
      </c>
      <c r="JA9" s="84" t="str">
        <f t="shared" si="3"/>
        <v/>
      </c>
      <c r="JB9" s="84" t="str">
        <f t="shared" si="3"/>
        <v/>
      </c>
      <c r="JC9" s="84" t="str">
        <f t="shared" si="3"/>
        <v/>
      </c>
      <c r="JD9" s="84" t="str">
        <f t="shared" ref="JD9:LO9" si="4">+IF(COUNTIF(JD5:JD7,"X")+COUNTIF(JD5:JD7,"IC")&gt;0,"C","")</f>
        <v/>
      </c>
      <c r="JE9" s="84" t="str">
        <f t="shared" si="4"/>
        <v/>
      </c>
      <c r="JF9" s="84" t="str">
        <f t="shared" si="4"/>
        <v/>
      </c>
      <c r="JG9" s="84" t="str">
        <f t="shared" si="4"/>
        <v/>
      </c>
      <c r="JH9" s="84" t="str">
        <f t="shared" si="4"/>
        <v/>
      </c>
      <c r="JI9" s="84" t="str">
        <f t="shared" si="4"/>
        <v/>
      </c>
      <c r="JJ9" s="84" t="str">
        <f t="shared" si="4"/>
        <v/>
      </c>
      <c r="JK9" s="84" t="str">
        <f t="shared" si="4"/>
        <v/>
      </c>
      <c r="JL9" s="84" t="str">
        <f t="shared" si="4"/>
        <v/>
      </c>
      <c r="JM9" s="84" t="str">
        <f t="shared" si="4"/>
        <v/>
      </c>
      <c r="JN9" s="84" t="str">
        <f t="shared" si="4"/>
        <v/>
      </c>
      <c r="JO9" s="84" t="str">
        <f t="shared" si="4"/>
        <v/>
      </c>
      <c r="JP9" s="84" t="str">
        <f t="shared" si="4"/>
        <v/>
      </c>
      <c r="JQ9" s="84" t="str">
        <f t="shared" si="4"/>
        <v/>
      </c>
      <c r="JR9" s="84" t="str">
        <f t="shared" si="4"/>
        <v/>
      </c>
      <c r="JS9" s="84" t="str">
        <f t="shared" si="4"/>
        <v/>
      </c>
      <c r="JT9" s="84" t="str">
        <f t="shared" si="4"/>
        <v/>
      </c>
      <c r="JU9" s="84" t="str">
        <f t="shared" si="4"/>
        <v/>
      </c>
      <c r="JV9" s="84" t="str">
        <f t="shared" si="4"/>
        <v/>
      </c>
      <c r="JW9" s="84" t="str">
        <f t="shared" si="4"/>
        <v/>
      </c>
      <c r="JX9" s="84" t="str">
        <f t="shared" si="4"/>
        <v/>
      </c>
      <c r="JY9" s="84" t="str">
        <f t="shared" si="4"/>
        <v/>
      </c>
      <c r="JZ9" s="84" t="str">
        <f t="shared" si="4"/>
        <v/>
      </c>
      <c r="KA9" s="84" t="str">
        <f t="shared" si="4"/>
        <v/>
      </c>
      <c r="KB9" s="84" t="str">
        <f t="shared" si="4"/>
        <v/>
      </c>
      <c r="KC9" s="84" t="str">
        <f t="shared" si="4"/>
        <v/>
      </c>
      <c r="KD9" s="84" t="str">
        <f t="shared" si="4"/>
        <v/>
      </c>
      <c r="KE9" s="84" t="str">
        <f t="shared" si="4"/>
        <v/>
      </c>
      <c r="KF9" s="84" t="str">
        <f t="shared" si="4"/>
        <v/>
      </c>
      <c r="KG9" s="84" t="str">
        <f t="shared" si="4"/>
        <v/>
      </c>
      <c r="KH9" s="84" t="str">
        <f t="shared" si="4"/>
        <v/>
      </c>
      <c r="KI9" s="84" t="str">
        <f t="shared" si="4"/>
        <v/>
      </c>
      <c r="KJ9" s="84" t="str">
        <f t="shared" si="4"/>
        <v/>
      </c>
      <c r="KK9" s="84" t="str">
        <f t="shared" si="4"/>
        <v/>
      </c>
      <c r="KL9" s="84" t="str">
        <f t="shared" si="4"/>
        <v/>
      </c>
      <c r="KM9" s="84" t="str">
        <f t="shared" si="4"/>
        <v/>
      </c>
      <c r="KN9" s="84" t="str">
        <f t="shared" si="4"/>
        <v/>
      </c>
      <c r="KO9" s="84" t="str">
        <f t="shared" si="4"/>
        <v/>
      </c>
      <c r="KP9" s="84" t="str">
        <f t="shared" si="4"/>
        <v/>
      </c>
      <c r="KQ9" s="84" t="str">
        <f t="shared" si="4"/>
        <v/>
      </c>
      <c r="KR9" s="84" t="str">
        <f t="shared" si="4"/>
        <v/>
      </c>
      <c r="KS9" s="84" t="str">
        <f t="shared" si="4"/>
        <v/>
      </c>
      <c r="KT9" s="84" t="str">
        <f t="shared" si="4"/>
        <v/>
      </c>
      <c r="KU9" s="84" t="str">
        <f t="shared" si="4"/>
        <v/>
      </c>
      <c r="KV9" s="84" t="str">
        <f t="shared" si="4"/>
        <v/>
      </c>
      <c r="KW9" s="84" t="str">
        <f t="shared" si="4"/>
        <v/>
      </c>
      <c r="KX9" s="84" t="str">
        <f t="shared" si="4"/>
        <v/>
      </c>
      <c r="KY9" s="84" t="str">
        <f t="shared" si="4"/>
        <v/>
      </c>
      <c r="KZ9" s="84" t="str">
        <f t="shared" si="4"/>
        <v/>
      </c>
      <c r="LA9" s="84" t="str">
        <f t="shared" si="4"/>
        <v/>
      </c>
      <c r="LB9" s="84" t="str">
        <f t="shared" si="4"/>
        <v/>
      </c>
      <c r="LC9" s="84" t="str">
        <f t="shared" si="4"/>
        <v/>
      </c>
      <c r="LD9" s="84" t="str">
        <f t="shared" si="4"/>
        <v/>
      </c>
      <c r="LE9" s="84" t="str">
        <f t="shared" si="4"/>
        <v/>
      </c>
      <c r="LF9" s="84" t="str">
        <f t="shared" si="4"/>
        <v/>
      </c>
      <c r="LG9" s="84" t="str">
        <f t="shared" si="4"/>
        <v/>
      </c>
      <c r="LH9" s="84" t="str">
        <f t="shared" si="4"/>
        <v/>
      </c>
      <c r="LI9" s="84" t="str">
        <f t="shared" si="4"/>
        <v/>
      </c>
      <c r="LJ9" s="84" t="str">
        <f t="shared" si="4"/>
        <v/>
      </c>
      <c r="LK9" s="84" t="str">
        <f t="shared" si="4"/>
        <v/>
      </c>
      <c r="LL9" s="84" t="str">
        <f t="shared" si="4"/>
        <v/>
      </c>
      <c r="LM9" s="84" t="str">
        <f t="shared" si="4"/>
        <v/>
      </c>
      <c r="LN9" s="84" t="str">
        <f t="shared" si="4"/>
        <v/>
      </c>
      <c r="LO9" s="84" t="str">
        <f t="shared" si="4"/>
        <v/>
      </c>
      <c r="LP9" s="84" t="str">
        <f t="shared" ref="LP9:OA9" si="5">+IF(COUNTIF(LP5:LP7,"X")+COUNTIF(LP5:LP7,"IC")&gt;0,"C","")</f>
        <v/>
      </c>
      <c r="LQ9" s="84" t="str">
        <f t="shared" si="5"/>
        <v/>
      </c>
      <c r="LR9" s="84" t="str">
        <f t="shared" si="5"/>
        <v/>
      </c>
      <c r="LS9" s="84" t="str">
        <f t="shared" si="5"/>
        <v/>
      </c>
      <c r="LT9" s="84" t="str">
        <f t="shared" si="5"/>
        <v/>
      </c>
      <c r="LU9" s="84" t="str">
        <f t="shared" si="5"/>
        <v/>
      </c>
      <c r="LV9" s="84" t="str">
        <f t="shared" si="5"/>
        <v/>
      </c>
      <c r="LW9" s="84" t="str">
        <f t="shared" si="5"/>
        <v/>
      </c>
      <c r="LX9" s="84" t="str">
        <f t="shared" si="5"/>
        <v/>
      </c>
      <c r="LY9" s="84" t="str">
        <f t="shared" si="5"/>
        <v/>
      </c>
      <c r="LZ9" s="84" t="str">
        <f t="shared" si="5"/>
        <v/>
      </c>
      <c r="MA9" s="84" t="str">
        <f t="shared" si="5"/>
        <v/>
      </c>
      <c r="MB9" s="84" t="str">
        <f t="shared" si="5"/>
        <v/>
      </c>
      <c r="MC9" s="84" t="str">
        <f t="shared" si="5"/>
        <v/>
      </c>
      <c r="MD9" s="84" t="str">
        <f t="shared" si="5"/>
        <v/>
      </c>
      <c r="ME9" s="84" t="str">
        <f t="shared" si="5"/>
        <v/>
      </c>
      <c r="MF9" s="84" t="str">
        <f t="shared" si="5"/>
        <v/>
      </c>
      <c r="MG9" s="84" t="str">
        <f t="shared" si="5"/>
        <v/>
      </c>
      <c r="MH9" s="84" t="str">
        <f t="shared" si="5"/>
        <v/>
      </c>
      <c r="MI9" s="84" t="str">
        <f t="shared" si="5"/>
        <v/>
      </c>
      <c r="MJ9" s="84" t="str">
        <f t="shared" si="5"/>
        <v/>
      </c>
      <c r="MK9" s="84" t="str">
        <f t="shared" si="5"/>
        <v/>
      </c>
      <c r="ML9" s="84" t="str">
        <f t="shared" si="5"/>
        <v/>
      </c>
      <c r="MM9" s="84" t="str">
        <f t="shared" si="5"/>
        <v/>
      </c>
      <c r="MN9" s="84" t="str">
        <f t="shared" si="5"/>
        <v/>
      </c>
      <c r="MO9" s="84" t="str">
        <f t="shared" si="5"/>
        <v/>
      </c>
      <c r="MP9" s="84" t="str">
        <f t="shared" si="5"/>
        <v/>
      </c>
      <c r="MQ9" s="84" t="str">
        <f t="shared" si="5"/>
        <v/>
      </c>
      <c r="MR9" s="84" t="str">
        <f t="shared" si="5"/>
        <v/>
      </c>
      <c r="MS9" s="84" t="str">
        <f t="shared" si="5"/>
        <v/>
      </c>
      <c r="MT9" s="84" t="str">
        <f t="shared" si="5"/>
        <v/>
      </c>
      <c r="MU9" s="84" t="str">
        <f t="shared" si="5"/>
        <v/>
      </c>
      <c r="MV9" s="84" t="str">
        <f t="shared" si="5"/>
        <v/>
      </c>
      <c r="MW9" s="84" t="str">
        <f t="shared" si="5"/>
        <v/>
      </c>
      <c r="MX9" s="84" t="str">
        <f t="shared" si="5"/>
        <v/>
      </c>
      <c r="MY9" s="84" t="str">
        <f t="shared" si="5"/>
        <v/>
      </c>
      <c r="MZ9" s="84" t="str">
        <f t="shared" si="5"/>
        <v/>
      </c>
      <c r="NA9" s="84" t="str">
        <f t="shared" si="5"/>
        <v/>
      </c>
      <c r="NB9" s="84" t="str">
        <f t="shared" si="5"/>
        <v/>
      </c>
      <c r="NC9" s="84" t="str">
        <f t="shared" si="5"/>
        <v/>
      </c>
      <c r="ND9" s="84" t="str">
        <f t="shared" si="5"/>
        <v/>
      </c>
      <c r="NE9" s="84" t="str">
        <f t="shared" si="5"/>
        <v/>
      </c>
      <c r="NF9" s="84" t="str">
        <f t="shared" si="5"/>
        <v/>
      </c>
      <c r="NG9" s="84" t="str">
        <f t="shared" si="5"/>
        <v/>
      </c>
      <c r="NH9" s="84" t="str">
        <f t="shared" si="5"/>
        <v/>
      </c>
      <c r="NI9" s="84" t="str">
        <f t="shared" si="5"/>
        <v/>
      </c>
      <c r="NJ9" s="84" t="str">
        <f t="shared" si="5"/>
        <v/>
      </c>
      <c r="NK9" s="84" t="str">
        <f t="shared" si="5"/>
        <v/>
      </c>
      <c r="NL9" s="84" t="str">
        <f t="shared" si="5"/>
        <v/>
      </c>
      <c r="NM9" s="84" t="str">
        <f t="shared" si="5"/>
        <v/>
      </c>
      <c r="NN9" s="84" t="str">
        <f t="shared" si="5"/>
        <v/>
      </c>
      <c r="NO9" s="84" t="str">
        <f t="shared" si="5"/>
        <v/>
      </c>
      <c r="NP9" s="84" t="str">
        <f t="shared" si="5"/>
        <v/>
      </c>
      <c r="NQ9" s="84" t="str">
        <f t="shared" si="5"/>
        <v/>
      </c>
      <c r="NR9" s="84" t="str">
        <f t="shared" si="5"/>
        <v/>
      </c>
      <c r="NS9" s="84" t="str">
        <f t="shared" si="5"/>
        <v/>
      </c>
      <c r="NT9" s="84" t="str">
        <f t="shared" si="5"/>
        <v/>
      </c>
      <c r="NU9" s="84" t="str">
        <f t="shared" si="5"/>
        <v/>
      </c>
      <c r="NV9" s="84" t="str">
        <f t="shared" si="5"/>
        <v/>
      </c>
      <c r="NW9" s="84" t="str">
        <f t="shared" si="5"/>
        <v/>
      </c>
      <c r="NX9" s="84" t="str">
        <f t="shared" si="5"/>
        <v/>
      </c>
      <c r="NY9" s="84" t="str">
        <f t="shared" si="5"/>
        <v/>
      </c>
      <c r="NZ9" s="84" t="str">
        <f t="shared" si="5"/>
        <v/>
      </c>
      <c r="OA9" s="84" t="str">
        <f t="shared" si="5"/>
        <v/>
      </c>
      <c r="OB9" s="84" t="str">
        <f t="shared" ref="OB9:QM9" si="6">+IF(COUNTIF(OB5:OB7,"X")+COUNTIF(OB5:OB7,"IC")&gt;0,"C","")</f>
        <v/>
      </c>
      <c r="OC9" s="84" t="str">
        <f t="shared" si="6"/>
        <v/>
      </c>
      <c r="OD9" s="84" t="str">
        <f t="shared" si="6"/>
        <v/>
      </c>
      <c r="OE9" s="84" t="str">
        <f t="shared" si="6"/>
        <v/>
      </c>
      <c r="OF9" s="84" t="str">
        <f t="shared" si="6"/>
        <v/>
      </c>
      <c r="OG9" s="84" t="str">
        <f t="shared" si="6"/>
        <v/>
      </c>
      <c r="OH9" s="84" t="str">
        <f t="shared" si="6"/>
        <v/>
      </c>
      <c r="OI9" s="84" t="str">
        <f t="shared" si="6"/>
        <v/>
      </c>
      <c r="OJ9" s="84" t="str">
        <f t="shared" si="6"/>
        <v/>
      </c>
      <c r="OK9" s="84" t="str">
        <f t="shared" si="6"/>
        <v/>
      </c>
      <c r="OL9" s="84" t="str">
        <f t="shared" si="6"/>
        <v/>
      </c>
      <c r="OM9" s="84" t="str">
        <f t="shared" si="6"/>
        <v/>
      </c>
      <c r="ON9" s="84" t="str">
        <f t="shared" si="6"/>
        <v/>
      </c>
      <c r="OO9" s="84" t="str">
        <f t="shared" si="6"/>
        <v/>
      </c>
      <c r="OP9" s="84" t="str">
        <f t="shared" si="6"/>
        <v/>
      </c>
      <c r="OQ9" s="84" t="str">
        <f t="shared" si="6"/>
        <v/>
      </c>
      <c r="OR9" s="84" t="str">
        <f t="shared" si="6"/>
        <v/>
      </c>
      <c r="OS9" s="84" t="str">
        <f t="shared" si="6"/>
        <v/>
      </c>
      <c r="OT9" s="84" t="str">
        <f t="shared" si="6"/>
        <v/>
      </c>
      <c r="OU9" s="84" t="str">
        <f t="shared" si="6"/>
        <v/>
      </c>
      <c r="OV9" s="84" t="str">
        <f t="shared" si="6"/>
        <v/>
      </c>
      <c r="OW9" s="84" t="str">
        <f t="shared" si="6"/>
        <v/>
      </c>
      <c r="OX9" s="84" t="str">
        <f t="shared" si="6"/>
        <v/>
      </c>
      <c r="OY9" s="84" t="str">
        <f t="shared" si="6"/>
        <v/>
      </c>
      <c r="OZ9" s="84" t="str">
        <f t="shared" si="6"/>
        <v/>
      </c>
      <c r="PA9" s="84" t="str">
        <f t="shared" si="6"/>
        <v/>
      </c>
      <c r="PB9" s="84" t="str">
        <f t="shared" si="6"/>
        <v/>
      </c>
      <c r="PC9" s="84" t="str">
        <f t="shared" si="6"/>
        <v/>
      </c>
      <c r="PD9" s="84" t="str">
        <f t="shared" si="6"/>
        <v/>
      </c>
      <c r="PE9" s="84" t="str">
        <f t="shared" si="6"/>
        <v/>
      </c>
      <c r="PF9" s="84" t="str">
        <f t="shared" si="6"/>
        <v/>
      </c>
      <c r="PG9" s="84" t="str">
        <f t="shared" si="6"/>
        <v/>
      </c>
      <c r="PH9" s="84" t="str">
        <f t="shared" si="6"/>
        <v/>
      </c>
      <c r="PI9" s="84" t="str">
        <f t="shared" si="6"/>
        <v/>
      </c>
      <c r="PJ9" s="84" t="str">
        <f t="shared" si="6"/>
        <v/>
      </c>
      <c r="PK9" s="84" t="str">
        <f t="shared" si="6"/>
        <v/>
      </c>
      <c r="PL9" s="84" t="str">
        <f t="shared" si="6"/>
        <v/>
      </c>
      <c r="PM9" s="84" t="str">
        <f t="shared" si="6"/>
        <v/>
      </c>
      <c r="PN9" s="84" t="str">
        <f t="shared" si="6"/>
        <v/>
      </c>
      <c r="PO9" s="84" t="str">
        <f t="shared" si="6"/>
        <v/>
      </c>
      <c r="PP9" s="84" t="str">
        <f t="shared" si="6"/>
        <v/>
      </c>
      <c r="PQ9" s="84" t="str">
        <f t="shared" si="6"/>
        <v/>
      </c>
      <c r="PR9" s="84" t="str">
        <f t="shared" si="6"/>
        <v/>
      </c>
      <c r="PS9" s="84" t="str">
        <f t="shared" si="6"/>
        <v/>
      </c>
      <c r="PT9" s="84" t="str">
        <f t="shared" si="6"/>
        <v/>
      </c>
      <c r="PU9" s="84" t="str">
        <f t="shared" si="6"/>
        <v/>
      </c>
      <c r="PV9" s="84" t="str">
        <f t="shared" si="6"/>
        <v/>
      </c>
      <c r="PW9" s="84" t="str">
        <f t="shared" si="6"/>
        <v/>
      </c>
      <c r="PX9" s="84" t="str">
        <f t="shared" si="6"/>
        <v/>
      </c>
      <c r="PY9" s="84" t="str">
        <f t="shared" si="6"/>
        <v/>
      </c>
      <c r="PZ9" s="84" t="str">
        <f t="shared" si="6"/>
        <v/>
      </c>
      <c r="QA9" s="84" t="str">
        <f t="shared" si="6"/>
        <v/>
      </c>
      <c r="QB9" s="84" t="str">
        <f t="shared" si="6"/>
        <v/>
      </c>
      <c r="QC9" s="84" t="str">
        <f t="shared" si="6"/>
        <v/>
      </c>
      <c r="QD9" s="84" t="str">
        <f t="shared" si="6"/>
        <v/>
      </c>
      <c r="QE9" s="84" t="str">
        <f t="shared" si="6"/>
        <v/>
      </c>
      <c r="QF9" s="84" t="str">
        <f t="shared" si="6"/>
        <v/>
      </c>
      <c r="QG9" s="84" t="str">
        <f t="shared" si="6"/>
        <v/>
      </c>
      <c r="QH9" s="84" t="str">
        <f t="shared" si="6"/>
        <v/>
      </c>
      <c r="QI9" s="84" t="str">
        <f t="shared" si="6"/>
        <v/>
      </c>
      <c r="QJ9" s="84" t="str">
        <f t="shared" si="6"/>
        <v/>
      </c>
      <c r="QK9" s="84" t="str">
        <f t="shared" si="6"/>
        <v/>
      </c>
      <c r="QL9" s="84" t="str">
        <f t="shared" si="6"/>
        <v/>
      </c>
      <c r="QM9" s="84" t="str">
        <f t="shared" si="6"/>
        <v/>
      </c>
      <c r="QN9" s="84" t="str">
        <f t="shared" ref="QN9:SN9" si="7">+IF(COUNTIF(QN5:QN7,"X")+COUNTIF(QN5:QN7,"IC")&gt;0,"C","")</f>
        <v/>
      </c>
      <c r="QO9" s="84" t="str">
        <f t="shared" si="7"/>
        <v/>
      </c>
      <c r="QP9" s="84" t="str">
        <f t="shared" si="7"/>
        <v/>
      </c>
      <c r="QQ9" s="84" t="str">
        <f t="shared" si="7"/>
        <v/>
      </c>
      <c r="QR9" s="84" t="str">
        <f t="shared" si="7"/>
        <v/>
      </c>
      <c r="QS9" s="84" t="str">
        <f t="shared" si="7"/>
        <v/>
      </c>
      <c r="QT9" s="84" t="str">
        <f t="shared" si="7"/>
        <v/>
      </c>
      <c r="QU9" s="84" t="str">
        <f t="shared" si="7"/>
        <v/>
      </c>
      <c r="QV9" s="84" t="str">
        <f t="shared" si="7"/>
        <v/>
      </c>
      <c r="QW9" s="84" t="str">
        <f t="shared" si="7"/>
        <v/>
      </c>
      <c r="QX9" s="84" t="str">
        <f t="shared" si="7"/>
        <v/>
      </c>
      <c r="QY9" s="84" t="str">
        <f t="shared" si="7"/>
        <v/>
      </c>
      <c r="QZ9" s="84" t="str">
        <f t="shared" si="7"/>
        <v/>
      </c>
      <c r="RA9" s="84" t="str">
        <f t="shared" si="7"/>
        <v/>
      </c>
      <c r="RB9" s="84" t="str">
        <f t="shared" si="7"/>
        <v/>
      </c>
      <c r="RC9" s="84" t="str">
        <f t="shared" si="7"/>
        <v/>
      </c>
      <c r="RD9" s="84" t="str">
        <f t="shared" si="7"/>
        <v/>
      </c>
      <c r="RE9" s="84" t="str">
        <f t="shared" si="7"/>
        <v/>
      </c>
      <c r="RF9" s="84" t="str">
        <f t="shared" si="7"/>
        <v/>
      </c>
      <c r="RG9" s="84" t="str">
        <f t="shared" si="7"/>
        <v/>
      </c>
      <c r="RH9" s="84" t="str">
        <f t="shared" si="7"/>
        <v/>
      </c>
      <c r="RI9" s="84" t="str">
        <f t="shared" si="7"/>
        <v/>
      </c>
      <c r="RJ9" s="84" t="str">
        <f t="shared" si="7"/>
        <v/>
      </c>
      <c r="RK9" s="84" t="str">
        <f t="shared" si="7"/>
        <v/>
      </c>
      <c r="RL9" s="84" t="str">
        <f t="shared" si="7"/>
        <v/>
      </c>
      <c r="RM9" s="84" t="str">
        <f t="shared" si="7"/>
        <v/>
      </c>
      <c r="RN9" s="84" t="str">
        <f t="shared" si="7"/>
        <v/>
      </c>
      <c r="RO9" s="84" t="str">
        <f t="shared" si="7"/>
        <v/>
      </c>
      <c r="RP9" s="84" t="str">
        <f t="shared" si="7"/>
        <v/>
      </c>
      <c r="RQ9" s="84" t="str">
        <f t="shared" si="7"/>
        <v/>
      </c>
      <c r="RR9" s="84" t="str">
        <f t="shared" si="7"/>
        <v/>
      </c>
      <c r="RS9" s="84" t="str">
        <f t="shared" si="7"/>
        <v/>
      </c>
      <c r="RT9" s="84" t="str">
        <f t="shared" si="7"/>
        <v/>
      </c>
      <c r="RU9" s="84" t="str">
        <f t="shared" si="7"/>
        <v/>
      </c>
      <c r="RV9" s="84" t="str">
        <f t="shared" si="7"/>
        <v/>
      </c>
      <c r="RW9" s="84" t="str">
        <f t="shared" si="7"/>
        <v/>
      </c>
      <c r="RX9" s="84" t="str">
        <f t="shared" si="7"/>
        <v/>
      </c>
      <c r="RY9" s="84" t="str">
        <f t="shared" si="7"/>
        <v/>
      </c>
      <c r="RZ9" s="84" t="str">
        <f t="shared" si="7"/>
        <v/>
      </c>
      <c r="SA9" s="84" t="str">
        <f t="shared" si="7"/>
        <v/>
      </c>
      <c r="SB9" s="84" t="str">
        <f t="shared" si="7"/>
        <v/>
      </c>
      <c r="SC9" s="84" t="str">
        <f t="shared" si="7"/>
        <v/>
      </c>
      <c r="SD9" s="84" t="str">
        <f t="shared" si="7"/>
        <v/>
      </c>
      <c r="SE9" s="84" t="str">
        <f t="shared" si="7"/>
        <v/>
      </c>
      <c r="SF9" s="84" t="str">
        <f t="shared" si="7"/>
        <v/>
      </c>
      <c r="SG9" s="84" t="str">
        <f t="shared" si="7"/>
        <v/>
      </c>
      <c r="SH9" s="84" t="str">
        <f t="shared" si="7"/>
        <v/>
      </c>
      <c r="SI9" s="84" t="str">
        <f t="shared" si="7"/>
        <v/>
      </c>
      <c r="SJ9" s="84" t="str">
        <f t="shared" si="7"/>
        <v/>
      </c>
      <c r="SK9" s="84" t="str">
        <f t="shared" si="7"/>
        <v/>
      </c>
      <c r="SL9" s="84" t="str">
        <f t="shared" si="7"/>
        <v/>
      </c>
      <c r="SM9" s="84" t="str">
        <f t="shared" si="7"/>
        <v/>
      </c>
      <c r="SN9" s="84" t="str">
        <f t="shared" si="7"/>
        <v/>
      </c>
    </row>
    <row r="10" spans="2:508">
      <c r="B10" s="168" t="s">
        <v>235</v>
      </c>
      <c r="C10" s="169"/>
      <c r="D10" s="169"/>
      <c r="E10" s="169"/>
      <c r="F10" s="17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</row>
    <row r="11" spans="2:508">
      <c r="B11" s="171" t="str">
        <f>B4</f>
        <v>Personal</v>
      </c>
      <c r="C11" s="171" t="str">
        <f>C4</f>
        <v>Cargo</v>
      </c>
      <c r="D11" s="171" t="str">
        <f>D4</f>
        <v>Régimen</v>
      </c>
      <c r="E11" s="172" t="str">
        <f>E4</f>
        <v>Inicio</v>
      </c>
      <c r="F11" s="172" t="str">
        <f>F4</f>
        <v>Permanencia</v>
      </c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83"/>
      <c r="BW11" s="83"/>
      <c r="BX11" s="83"/>
      <c r="BY11" s="83"/>
      <c r="BZ11" s="83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3"/>
      <c r="CU11" s="83"/>
      <c r="CV11" s="83"/>
      <c r="CW11" s="83"/>
      <c r="CX11" s="83"/>
      <c r="CY11" s="83"/>
      <c r="CZ11" s="83"/>
      <c r="DA11" s="83"/>
      <c r="DB11" s="83"/>
      <c r="DC11" s="83"/>
      <c r="DD11" s="83"/>
      <c r="DE11" s="83"/>
      <c r="DF11" s="83"/>
      <c r="DG11" s="83"/>
      <c r="DH11" s="83"/>
      <c r="DI11" s="83"/>
      <c r="DJ11" s="83"/>
      <c r="DK11" s="83"/>
      <c r="DL11" s="83"/>
      <c r="DM11" s="83"/>
      <c r="DN11" s="83"/>
      <c r="DO11" s="83"/>
      <c r="DP11" s="83"/>
      <c r="DQ11" s="83"/>
      <c r="DR11" s="83"/>
      <c r="DS11" s="83"/>
      <c r="DT11" s="83"/>
      <c r="DU11" s="83"/>
      <c r="DV11" s="83"/>
      <c r="DW11" s="83"/>
      <c r="DX11" s="83"/>
      <c r="DY11" s="83"/>
      <c r="DZ11" s="83"/>
      <c r="EA11" s="83"/>
      <c r="EB11" s="83"/>
      <c r="EC11" s="83"/>
      <c r="ED11" s="83"/>
      <c r="EE11" s="83"/>
      <c r="EF11" s="83"/>
      <c r="EG11" s="83"/>
      <c r="EH11" s="83"/>
      <c r="EI11" s="83"/>
      <c r="EJ11" s="83"/>
      <c r="EK11" s="83"/>
      <c r="EL11" s="83"/>
      <c r="EM11" s="83"/>
      <c r="EN11" s="83"/>
      <c r="EO11" s="83"/>
      <c r="EP11" s="83"/>
      <c r="EQ11" s="83"/>
      <c r="ER11" s="83"/>
      <c r="ES11" s="83"/>
      <c r="ET11" s="83"/>
      <c r="EU11" s="83"/>
      <c r="EV11" s="83"/>
      <c r="EW11" s="83"/>
      <c r="EX11" s="83"/>
      <c r="EY11" s="83"/>
      <c r="EZ11" s="83"/>
      <c r="FA11" s="83"/>
      <c r="FB11" s="83"/>
      <c r="FC11" s="83"/>
      <c r="FD11" s="83"/>
      <c r="FE11" s="83"/>
      <c r="FF11" s="83"/>
      <c r="FG11" s="83"/>
      <c r="FH11" s="83"/>
      <c r="FI11" s="83"/>
      <c r="FJ11" s="83"/>
      <c r="FK11" s="83"/>
      <c r="FL11" s="83"/>
      <c r="FM11" s="83"/>
      <c r="FN11" s="83"/>
      <c r="FO11" s="83"/>
      <c r="FP11" s="83"/>
      <c r="FQ11" s="83"/>
      <c r="FR11" s="83"/>
      <c r="FS11" s="83"/>
      <c r="FT11" s="83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</row>
    <row r="12" spans="2:508">
      <c r="B12" s="141" t="str">
        <f t="shared" ref="B12:F14" si="8">IF(B5="","",B5)</f>
        <v>LC</v>
      </c>
      <c r="C12" s="141" t="str">
        <f t="shared" si="8"/>
        <v>Prac 1</v>
      </c>
      <c r="D12" s="157" t="str">
        <f t="shared" si="8"/>
        <v>14x7</v>
      </c>
      <c r="E12" s="158">
        <f t="shared" si="8"/>
        <v>45117</v>
      </c>
      <c r="F12" s="159">
        <f t="shared" si="8"/>
        <v>60</v>
      </c>
      <c r="G12" s="84" t="str">
        <f t="shared" ref="G12:H14" si="9">IF(G5&lt;&gt;"","H","")</f>
        <v/>
      </c>
      <c r="H12" s="84" t="str">
        <f t="shared" si="9"/>
        <v/>
      </c>
      <c r="I12" s="84" t="str">
        <f t="shared" ref="I12:BT12" si="10">IF(I5&lt;&gt;"","H","")</f>
        <v/>
      </c>
      <c r="J12" s="84" t="str">
        <f t="shared" si="10"/>
        <v/>
      </c>
      <c r="K12" s="84" t="str">
        <f t="shared" si="10"/>
        <v/>
      </c>
      <c r="L12" s="84" t="str">
        <f t="shared" si="10"/>
        <v/>
      </c>
      <c r="M12" s="84" t="str">
        <f t="shared" si="10"/>
        <v/>
      </c>
      <c r="N12" s="84" t="str">
        <f t="shared" si="10"/>
        <v/>
      </c>
      <c r="O12" s="84" t="str">
        <f t="shared" si="10"/>
        <v/>
      </c>
      <c r="P12" s="84" t="str">
        <f t="shared" si="10"/>
        <v/>
      </c>
      <c r="Q12" s="84" t="str">
        <f t="shared" si="10"/>
        <v/>
      </c>
      <c r="R12" s="84" t="str">
        <f t="shared" si="10"/>
        <v/>
      </c>
      <c r="S12" s="84" t="str">
        <f t="shared" si="10"/>
        <v/>
      </c>
      <c r="T12" s="84" t="str">
        <f t="shared" si="10"/>
        <v/>
      </c>
      <c r="U12" s="84" t="str">
        <f t="shared" si="10"/>
        <v/>
      </c>
      <c r="V12" s="84" t="str">
        <f t="shared" si="10"/>
        <v/>
      </c>
      <c r="W12" s="84" t="str">
        <f t="shared" si="10"/>
        <v/>
      </c>
      <c r="X12" s="84" t="str">
        <f t="shared" si="10"/>
        <v/>
      </c>
      <c r="Y12" s="84" t="str">
        <f t="shared" si="10"/>
        <v/>
      </c>
      <c r="Z12" s="84" t="str">
        <f t="shared" si="10"/>
        <v/>
      </c>
      <c r="AA12" s="84" t="str">
        <f t="shared" si="10"/>
        <v/>
      </c>
      <c r="AB12" s="84" t="str">
        <f t="shared" si="10"/>
        <v/>
      </c>
      <c r="AC12" s="84" t="str">
        <f t="shared" si="10"/>
        <v/>
      </c>
      <c r="AD12" s="84" t="str">
        <f t="shared" si="10"/>
        <v/>
      </c>
      <c r="AE12" s="84" t="str">
        <f t="shared" si="10"/>
        <v/>
      </c>
      <c r="AF12" s="84" t="str">
        <f t="shared" si="10"/>
        <v/>
      </c>
      <c r="AG12" s="84" t="str">
        <f t="shared" si="10"/>
        <v/>
      </c>
      <c r="AH12" s="84" t="str">
        <f t="shared" si="10"/>
        <v/>
      </c>
      <c r="AI12" s="84" t="str">
        <f t="shared" si="10"/>
        <v/>
      </c>
      <c r="AJ12" s="84" t="str">
        <f t="shared" si="10"/>
        <v/>
      </c>
      <c r="AK12" s="84" t="str">
        <f t="shared" si="10"/>
        <v/>
      </c>
      <c r="AL12" s="84" t="str">
        <f t="shared" si="10"/>
        <v/>
      </c>
      <c r="AM12" s="84" t="str">
        <f t="shared" si="10"/>
        <v/>
      </c>
      <c r="AN12" s="84" t="str">
        <f t="shared" si="10"/>
        <v/>
      </c>
      <c r="AO12" s="84" t="str">
        <f t="shared" si="10"/>
        <v/>
      </c>
      <c r="AP12" s="84" t="str">
        <f t="shared" si="10"/>
        <v/>
      </c>
      <c r="AQ12" s="84" t="str">
        <f t="shared" si="10"/>
        <v/>
      </c>
      <c r="AR12" s="84" t="str">
        <f t="shared" si="10"/>
        <v/>
      </c>
      <c r="AS12" s="84" t="str">
        <f t="shared" si="10"/>
        <v/>
      </c>
      <c r="AT12" s="84" t="str">
        <f t="shared" si="10"/>
        <v/>
      </c>
      <c r="AU12" s="84" t="str">
        <f t="shared" si="10"/>
        <v/>
      </c>
      <c r="AV12" s="84" t="str">
        <f t="shared" si="10"/>
        <v/>
      </c>
      <c r="AW12" s="84" t="str">
        <f t="shared" si="10"/>
        <v/>
      </c>
      <c r="AX12" s="84" t="str">
        <f t="shared" si="10"/>
        <v/>
      </c>
      <c r="AY12" s="84" t="str">
        <f t="shared" si="10"/>
        <v/>
      </c>
      <c r="AZ12" s="84" t="str">
        <f t="shared" si="10"/>
        <v/>
      </c>
      <c r="BA12" s="84" t="str">
        <f t="shared" si="10"/>
        <v/>
      </c>
      <c r="BB12" s="84" t="str">
        <f t="shared" si="10"/>
        <v/>
      </c>
      <c r="BC12" s="84" t="str">
        <f t="shared" si="10"/>
        <v/>
      </c>
      <c r="BD12" s="84" t="str">
        <f t="shared" si="10"/>
        <v/>
      </c>
      <c r="BE12" s="84" t="str">
        <f t="shared" si="10"/>
        <v/>
      </c>
      <c r="BF12" s="84" t="str">
        <f t="shared" si="10"/>
        <v/>
      </c>
      <c r="BG12" s="84" t="str">
        <f t="shared" si="10"/>
        <v/>
      </c>
      <c r="BH12" s="84" t="str">
        <f t="shared" si="10"/>
        <v/>
      </c>
      <c r="BI12" s="84" t="str">
        <f t="shared" si="10"/>
        <v/>
      </c>
      <c r="BJ12" s="84" t="str">
        <f t="shared" si="10"/>
        <v/>
      </c>
      <c r="BK12" s="84" t="str">
        <f t="shared" si="10"/>
        <v/>
      </c>
      <c r="BL12" s="84" t="str">
        <f t="shared" si="10"/>
        <v/>
      </c>
      <c r="BM12" s="84" t="str">
        <f t="shared" si="10"/>
        <v/>
      </c>
      <c r="BN12" s="84" t="str">
        <f t="shared" si="10"/>
        <v/>
      </c>
      <c r="BO12" s="84" t="str">
        <f t="shared" si="10"/>
        <v/>
      </c>
      <c r="BP12" s="84" t="str">
        <f t="shared" si="10"/>
        <v/>
      </c>
      <c r="BQ12" s="84" t="str">
        <f t="shared" si="10"/>
        <v/>
      </c>
      <c r="BR12" s="84" t="str">
        <f t="shared" si="10"/>
        <v/>
      </c>
      <c r="BS12" s="84" t="str">
        <f t="shared" si="10"/>
        <v/>
      </c>
      <c r="BT12" s="84" t="str">
        <f t="shared" si="10"/>
        <v/>
      </c>
      <c r="BU12" s="84" t="str">
        <f t="shared" ref="BU12:EF12" si="11">IF(BU5&lt;&gt;"","H","")</f>
        <v/>
      </c>
      <c r="BV12" s="84" t="str">
        <f t="shared" si="11"/>
        <v/>
      </c>
      <c r="BW12" s="84" t="str">
        <f t="shared" si="11"/>
        <v/>
      </c>
      <c r="BX12" s="84" t="str">
        <f t="shared" si="11"/>
        <v/>
      </c>
      <c r="BY12" s="84" t="str">
        <f t="shared" si="11"/>
        <v/>
      </c>
      <c r="BZ12" s="84" t="str">
        <f t="shared" si="11"/>
        <v/>
      </c>
      <c r="CA12" s="84" t="str">
        <f t="shared" si="11"/>
        <v/>
      </c>
      <c r="CB12" s="84" t="str">
        <f t="shared" si="11"/>
        <v/>
      </c>
      <c r="CC12" s="84" t="str">
        <f t="shared" si="11"/>
        <v/>
      </c>
      <c r="CD12" s="84" t="str">
        <f t="shared" si="11"/>
        <v/>
      </c>
      <c r="CE12" s="84" t="str">
        <f t="shared" si="11"/>
        <v/>
      </c>
      <c r="CF12" s="84" t="str">
        <f t="shared" si="11"/>
        <v/>
      </c>
      <c r="CG12" s="84" t="str">
        <f t="shared" si="11"/>
        <v/>
      </c>
      <c r="CH12" s="84" t="str">
        <f t="shared" si="11"/>
        <v/>
      </c>
      <c r="CI12" s="84" t="str">
        <f t="shared" si="11"/>
        <v/>
      </c>
      <c r="CJ12" s="84" t="str">
        <f t="shared" si="11"/>
        <v/>
      </c>
      <c r="CK12" s="84" t="str">
        <f t="shared" si="11"/>
        <v/>
      </c>
      <c r="CL12" s="84" t="str">
        <f t="shared" si="11"/>
        <v/>
      </c>
      <c r="CM12" s="84" t="str">
        <f t="shared" si="11"/>
        <v/>
      </c>
      <c r="CN12" s="84" t="str">
        <f t="shared" si="11"/>
        <v/>
      </c>
      <c r="CO12" s="84" t="str">
        <f t="shared" si="11"/>
        <v/>
      </c>
      <c r="CP12" s="84" t="str">
        <f t="shared" si="11"/>
        <v/>
      </c>
      <c r="CQ12" s="84" t="str">
        <f t="shared" si="11"/>
        <v/>
      </c>
      <c r="CR12" s="84" t="str">
        <f t="shared" si="11"/>
        <v/>
      </c>
      <c r="CS12" s="84" t="str">
        <f t="shared" si="11"/>
        <v/>
      </c>
      <c r="CT12" s="84" t="str">
        <f t="shared" si="11"/>
        <v/>
      </c>
      <c r="CU12" s="84" t="str">
        <f t="shared" si="11"/>
        <v/>
      </c>
      <c r="CV12" s="84" t="str">
        <f t="shared" si="11"/>
        <v/>
      </c>
      <c r="CW12" s="84" t="str">
        <f t="shared" si="11"/>
        <v/>
      </c>
      <c r="CX12" s="84" t="str">
        <f t="shared" si="11"/>
        <v/>
      </c>
      <c r="CY12" s="84" t="str">
        <f t="shared" si="11"/>
        <v/>
      </c>
      <c r="CZ12" s="84" t="str">
        <f t="shared" si="11"/>
        <v/>
      </c>
      <c r="DA12" s="84" t="str">
        <f t="shared" si="11"/>
        <v/>
      </c>
      <c r="DB12" s="84" t="str">
        <f t="shared" si="11"/>
        <v/>
      </c>
      <c r="DC12" s="84" t="str">
        <f t="shared" si="11"/>
        <v/>
      </c>
      <c r="DD12" s="84" t="str">
        <f t="shared" si="11"/>
        <v/>
      </c>
      <c r="DE12" s="84" t="str">
        <f t="shared" si="11"/>
        <v/>
      </c>
      <c r="DF12" s="84" t="str">
        <f t="shared" si="11"/>
        <v/>
      </c>
      <c r="DG12" s="84" t="str">
        <f t="shared" si="11"/>
        <v/>
      </c>
      <c r="DH12" s="84" t="str">
        <f t="shared" si="11"/>
        <v/>
      </c>
      <c r="DI12" s="84" t="str">
        <f t="shared" si="11"/>
        <v/>
      </c>
      <c r="DJ12" s="84" t="str">
        <f t="shared" si="11"/>
        <v/>
      </c>
      <c r="DK12" s="84" t="str">
        <f t="shared" si="11"/>
        <v/>
      </c>
      <c r="DL12" s="84" t="str">
        <f t="shared" si="11"/>
        <v/>
      </c>
      <c r="DM12" s="84" t="str">
        <f t="shared" si="11"/>
        <v/>
      </c>
      <c r="DN12" s="84" t="str">
        <f t="shared" si="11"/>
        <v/>
      </c>
      <c r="DO12" s="84" t="str">
        <f t="shared" si="11"/>
        <v/>
      </c>
      <c r="DP12" s="84" t="str">
        <f t="shared" si="11"/>
        <v/>
      </c>
      <c r="DQ12" s="84" t="str">
        <f t="shared" si="11"/>
        <v/>
      </c>
      <c r="DR12" s="84" t="str">
        <f t="shared" si="11"/>
        <v/>
      </c>
      <c r="DS12" s="84" t="str">
        <f t="shared" si="11"/>
        <v/>
      </c>
      <c r="DT12" s="84" t="str">
        <f t="shared" si="11"/>
        <v/>
      </c>
      <c r="DU12" s="84" t="str">
        <f t="shared" si="11"/>
        <v/>
      </c>
      <c r="DV12" s="84" t="str">
        <f t="shared" si="11"/>
        <v/>
      </c>
      <c r="DW12" s="84" t="str">
        <f t="shared" si="11"/>
        <v/>
      </c>
      <c r="DX12" s="84" t="str">
        <f t="shared" si="11"/>
        <v/>
      </c>
      <c r="DY12" s="84" t="str">
        <f t="shared" si="11"/>
        <v/>
      </c>
      <c r="DZ12" s="84" t="str">
        <f t="shared" si="11"/>
        <v/>
      </c>
      <c r="EA12" s="84" t="str">
        <f t="shared" si="11"/>
        <v/>
      </c>
      <c r="EB12" s="84" t="str">
        <f t="shared" si="11"/>
        <v/>
      </c>
      <c r="EC12" s="84" t="str">
        <f t="shared" si="11"/>
        <v/>
      </c>
      <c r="ED12" s="84" t="str">
        <f t="shared" si="11"/>
        <v/>
      </c>
      <c r="EE12" s="84" t="str">
        <f t="shared" si="11"/>
        <v/>
      </c>
      <c r="EF12" s="84" t="str">
        <f t="shared" si="11"/>
        <v/>
      </c>
      <c r="EG12" s="84" t="str">
        <f t="shared" ref="EG12:GR12" si="12">IF(EG5&lt;&gt;"","H","")</f>
        <v/>
      </c>
      <c r="EH12" s="84" t="str">
        <f t="shared" si="12"/>
        <v/>
      </c>
      <c r="EI12" s="84" t="str">
        <f t="shared" si="12"/>
        <v/>
      </c>
      <c r="EJ12" s="84" t="str">
        <f t="shared" si="12"/>
        <v/>
      </c>
      <c r="EK12" s="84" t="str">
        <f t="shared" si="12"/>
        <v/>
      </c>
      <c r="EL12" s="84" t="str">
        <f t="shared" si="12"/>
        <v/>
      </c>
      <c r="EM12" s="84" t="str">
        <f t="shared" si="12"/>
        <v/>
      </c>
      <c r="EN12" s="84" t="str">
        <f t="shared" si="12"/>
        <v/>
      </c>
      <c r="EO12" s="84" t="str">
        <f t="shared" si="12"/>
        <v/>
      </c>
      <c r="EP12" s="84" t="str">
        <f t="shared" si="12"/>
        <v/>
      </c>
      <c r="EQ12" s="84" t="str">
        <f t="shared" si="12"/>
        <v/>
      </c>
      <c r="ER12" s="84" t="str">
        <f t="shared" si="12"/>
        <v/>
      </c>
      <c r="ES12" s="84" t="str">
        <f t="shared" si="12"/>
        <v/>
      </c>
      <c r="ET12" s="84" t="str">
        <f t="shared" si="12"/>
        <v/>
      </c>
      <c r="EU12" s="84" t="str">
        <f t="shared" si="12"/>
        <v/>
      </c>
      <c r="EV12" s="84" t="str">
        <f t="shared" si="12"/>
        <v/>
      </c>
      <c r="EW12" s="84" t="str">
        <f t="shared" si="12"/>
        <v/>
      </c>
      <c r="EX12" s="84" t="str">
        <f t="shared" si="12"/>
        <v/>
      </c>
      <c r="EY12" s="84" t="str">
        <f t="shared" si="12"/>
        <v/>
      </c>
      <c r="EZ12" s="84" t="str">
        <f t="shared" si="12"/>
        <v/>
      </c>
      <c r="FA12" s="84" t="str">
        <f t="shared" si="12"/>
        <v/>
      </c>
      <c r="FB12" s="84" t="str">
        <f t="shared" si="12"/>
        <v/>
      </c>
      <c r="FC12" s="84" t="str">
        <f t="shared" si="12"/>
        <v/>
      </c>
      <c r="FD12" s="84" t="str">
        <f t="shared" si="12"/>
        <v/>
      </c>
      <c r="FE12" s="84" t="str">
        <f t="shared" si="12"/>
        <v/>
      </c>
      <c r="FF12" s="84" t="str">
        <f t="shared" si="12"/>
        <v/>
      </c>
      <c r="FG12" s="84" t="str">
        <f t="shared" si="12"/>
        <v/>
      </c>
      <c r="FH12" s="84" t="str">
        <f t="shared" si="12"/>
        <v/>
      </c>
      <c r="FI12" s="84" t="str">
        <f t="shared" si="12"/>
        <v/>
      </c>
      <c r="FJ12" s="84" t="str">
        <f t="shared" si="12"/>
        <v/>
      </c>
      <c r="FK12" s="84" t="str">
        <f t="shared" si="12"/>
        <v/>
      </c>
      <c r="FL12" s="84" t="str">
        <f t="shared" si="12"/>
        <v/>
      </c>
      <c r="FM12" s="84" t="str">
        <f t="shared" si="12"/>
        <v/>
      </c>
      <c r="FN12" s="84" t="str">
        <f t="shared" si="12"/>
        <v/>
      </c>
      <c r="FO12" s="84" t="str">
        <f t="shared" si="12"/>
        <v/>
      </c>
      <c r="FP12" s="84" t="str">
        <f t="shared" si="12"/>
        <v/>
      </c>
      <c r="FQ12" s="84" t="str">
        <f t="shared" si="12"/>
        <v/>
      </c>
      <c r="FR12" s="84" t="str">
        <f t="shared" si="12"/>
        <v/>
      </c>
      <c r="FS12" s="84" t="str">
        <f t="shared" si="12"/>
        <v/>
      </c>
      <c r="FT12" s="84" t="str">
        <f t="shared" si="12"/>
        <v/>
      </c>
      <c r="FU12" s="84" t="str">
        <f t="shared" si="12"/>
        <v/>
      </c>
      <c r="FV12" s="84" t="str">
        <f t="shared" si="12"/>
        <v/>
      </c>
      <c r="FW12" s="84" t="str">
        <f t="shared" si="12"/>
        <v/>
      </c>
      <c r="FX12" s="84" t="str">
        <f t="shared" si="12"/>
        <v/>
      </c>
      <c r="FY12" s="84" t="str">
        <f t="shared" si="12"/>
        <v/>
      </c>
      <c r="FZ12" s="84" t="str">
        <f t="shared" si="12"/>
        <v/>
      </c>
      <c r="GA12" s="84" t="str">
        <f t="shared" si="12"/>
        <v/>
      </c>
      <c r="GB12" s="84" t="str">
        <f t="shared" si="12"/>
        <v/>
      </c>
      <c r="GC12" s="84" t="str">
        <f t="shared" si="12"/>
        <v/>
      </c>
      <c r="GD12" s="84" t="str">
        <f t="shared" si="12"/>
        <v/>
      </c>
      <c r="GE12" s="84" t="str">
        <f t="shared" si="12"/>
        <v/>
      </c>
      <c r="GF12" s="84" t="str">
        <f t="shared" si="12"/>
        <v/>
      </c>
      <c r="GG12" s="84" t="str">
        <f t="shared" si="12"/>
        <v/>
      </c>
      <c r="GH12" s="84" t="str">
        <f t="shared" si="12"/>
        <v/>
      </c>
      <c r="GI12" s="84" t="str">
        <f t="shared" si="12"/>
        <v/>
      </c>
      <c r="GJ12" s="84" t="str">
        <f t="shared" si="12"/>
        <v/>
      </c>
      <c r="GK12" s="84" t="str">
        <f t="shared" si="12"/>
        <v/>
      </c>
      <c r="GL12" s="84" t="str">
        <f t="shared" si="12"/>
        <v/>
      </c>
      <c r="GM12" s="84" t="str">
        <f t="shared" si="12"/>
        <v/>
      </c>
      <c r="GN12" s="84" t="str">
        <f t="shared" si="12"/>
        <v/>
      </c>
      <c r="GO12" s="84" t="str">
        <f t="shared" si="12"/>
        <v/>
      </c>
      <c r="GP12" s="84" t="str">
        <f t="shared" si="12"/>
        <v/>
      </c>
      <c r="GQ12" s="84" t="str">
        <f t="shared" si="12"/>
        <v/>
      </c>
      <c r="GR12" s="84" t="str">
        <f t="shared" si="12"/>
        <v/>
      </c>
      <c r="GS12" s="84" t="str">
        <f t="shared" ref="GS12:JD12" si="13">IF(GS5&lt;&gt;"","H","")</f>
        <v/>
      </c>
      <c r="GT12" s="84" t="str">
        <f t="shared" si="13"/>
        <v/>
      </c>
      <c r="GU12" s="84" t="str">
        <f t="shared" si="13"/>
        <v/>
      </c>
      <c r="GV12" s="84" t="str">
        <f t="shared" si="13"/>
        <v/>
      </c>
      <c r="GW12" s="84" t="str">
        <f t="shared" si="13"/>
        <v/>
      </c>
      <c r="GX12" s="84" t="str">
        <f t="shared" si="13"/>
        <v/>
      </c>
      <c r="GY12" s="84" t="str">
        <f t="shared" si="13"/>
        <v/>
      </c>
      <c r="GZ12" s="84" t="str">
        <f t="shared" si="13"/>
        <v/>
      </c>
      <c r="HA12" s="84" t="str">
        <f t="shared" si="13"/>
        <v/>
      </c>
      <c r="HB12" s="84" t="str">
        <f t="shared" si="13"/>
        <v/>
      </c>
      <c r="HC12" s="84" t="str">
        <f t="shared" si="13"/>
        <v/>
      </c>
      <c r="HD12" s="84" t="str">
        <f t="shared" si="13"/>
        <v/>
      </c>
      <c r="HE12" s="84" t="str">
        <f t="shared" si="13"/>
        <v/>
      </c>
      <c r="HF12" s="84" t="str">
        <f t="shared" si="13"/>
        <v/>
      </c>
      <c r="HG12" s="84" t="str">
        <f t="shared" si="13"/>
        <v/>
      </c>
      <c r="HH12" s="84" t="str">
        <f t="shared" si="13"/>
        <v/>
      </c>
      <c r="HI12" s="84" t="str">
        <f t="shared" si="13"/>
        <v/>
      </c>
      <c r="HJ12" s="84" t="str">
        <f t="shared" si="13"/>
        <v/>
      </c>
      <c r="HK12" s="84" t="str">
        <f t="shared" si="13"/>
        <v/>
      </c>
      <c r="HL12" s="84" t="str">
        <f t="shared" si="13"/>
        <v/>
      </c>
      <c r="HM12" s="84" t="str">
        <f t="shared" si="13"/>
        <v/>
      </c>
      <c r="HN12" s="84" t="str">
        <f t="shared" si="13"/>
        <v/>
      </c>
      <c r="HO12" s="84" t="str">
        <f t="shared" si="13"/>
        <v/>
      </c>
      <c r="HP12" s="84" t="str">
        <f t="shared" si="13"/>
        <v/>
      </c>
      <c r="HQ12" s="84" t="str">
        <f t="shared" si="13"/>
        <v/>
      </c>
      <c r="HR12" s="84" t="str">
        <f t="shared" si="13"/>
        <v/>
      </c>
      <c r="HS12" s="84" t="str">
        <f t="shared" si="13"/>
        <v/>
      </c>
      <c r="HT12" s="84" t="str">
        <f t="shared" si="13"/>
        <v/>
      </c>
      <c r="HU12" s="84" t="str">
        <f t="shared" si="13"/>
        <v/>
      </c>
      <c r="HV12" s="84" t="str">
        <f t="shared" si="13"/>
        <v/>
      </c>
      <c r="HW12" s="84" t="str">
        <f t="shared" si="13"/>
        <v/>
      </c>
      <c r="HX12" s="84" t="str">
        <f t="shared" si="13"/>
        <v/>
      </c>
      <c r="HY12" s="84" t="str">
        <f t="shared" si="13"/>
        <v/>
      </c>
      <c r="HZ12" s="84" t="str">
        <f t="shared" si="13"/>
        <v/>
      </c>
      <c r="IA12" s="84" t="str">
        <f t="shared" si="13"/>
        <v/>
      </c>
      <c r="IB12" s="84" t="str">
        <f t="shared" si="13"/>
        <v/>
      </c>
      <c r="IC12" s="84" t="str">
        <f t="shared" si="13"/>
        <v/>
      </c>
      <c r="ID12" s="84" t="str">
        <f t="shared" si="13"/>
        <v/>
      </c>
      <c r="IE12" s="84" t="str">
        <f t="shared" si="13"/>
        <v/>
      </c>
      <c r="IF12" s="84" t="str">
        <f t="shared" si="13"/>
        <v/>
      </c>
      <c r="IG12" s="84" t="str">
        <f t="shared" si="13"/>
        <v/>
      </c>
      <c r="IH12" s="84" t="str">
        <f t="shared" si="13"/>
        <v/>
      </c>
      <c r="II12" s="84" t="str">
        <f t="shared" si="13"/>
        <v/>
      </c>
      <c r="IJ12" s="84" t="str">
        <f t="shared" si="13"/>
        <v/>
      </c>
      <c r="IK12" s="84" t="str">
        <f t="shared" si="13"/>
        <v/>
      </c>
      <c r="IL12" s="84" t="str">
        <f t="shared" si="13"/>
        <v/>
      </c>
      <c r="IM12" s="84" t="str">
        <f t="shared" si="13"/>
        <v/>
      </c>
      <c r="IN12" s="84" t="str">
        <f t="shared" si="13"/>
        <v/>
      </c>
      <c r="IO12" s="84" t="str">
        <f t="shared" si="13"/>
        <v/>
      </c>
      <c r="IP12" s="84" t="str">
        <f t="shared" si="13"/>
        <v/>
      </c>
      <c r="IQ12" s="84" t="str">
        <f t="shared" si="13"/>
        <v/>
      </c>
      <c r="IR12" s="84" t="str">
        <f t="shared" si="13"/>
        <v/>
      </c>
      <c r="IS12" s="84" t="str">
        <f t="shared" si="13"/>
        <v/>
      </c>
      <c r="IT12" s="84" t="str">
        <f t="shared" si="13"/>
        <v/>
      </c>
      <c r="IU12" s="84" t="str">
        <f t="shared" si="13"/>
        <v/>
      </c>
      <c r="IV12" s="84" t="str">
        <f t="shared" si="13"/>
        <v/>
      </c>
      <c r="IW12" s="84" t="str">
        <f t="shared" si="13"/>
        <v/>
      </c>
      <c r="IX12" s="84" t="str">
        <f t="shared" si="13"/>
        <v/>
      </c>
      <c r="IY12" s="84" t="str">
        <f t="shared" si="13"/>
        <v/>
      </c>
      <c r="IZ12" s="84" t="str">
        <f t="shared" si="13"/>
        <v/>
      </c>
      <c r="JA12" s="84" t="str">
        <f t="shared" si="13"/>
        <v/>
      </c>
      <c r="JB12" s="84" t="str">
        <f t="shared" si="13"/>
        <v/>
      </c>
      <c r="JC12" s="84" t="str">
        <f t="shared" si="13"/>
        <v/>
      </c>
      <c r="JD12" s="84" t="str">
        <f t="shared" si="13"/>
        <v/>
      </c>
      <c r="JE12" s="84" t="str">
        <f t="shared" ref="JE12:LP12" si="14">IF(JE5&lt;&gt;"","H","")</f>
        <v/>
      </c>
      <c r="JF12" s="84" t="str">
        <f t="shared" si="14"/>
        <v/>
      </c>
      <c r="JG12" s="84" t="str">
        <f t="shared" si="14"/>
        <v/>
      </c>
      <c r="JH12" s="84" t="str">
        <f t="shared" si="14"/>
        <v/>
      </c>
      <c r="JI12" s="84" t="str">
        <f t="shared" si="14"/>
        <v/>
      </c>
      <c r="JJ12" s="84" t="str">
        <f t="shared" si="14"/>
        <v/>
      </c>
      <c r="JK12" s="84" t="str">
        <f t="shared" si="14"/>
        <v/>
      </c>
      <c r="JL12" s="84" t="str">
        <f t="shared" si="14"/>
        <v/>
      </c>
      <c r="JM12" s="84" t="str">
        <f t="shared" si="14"/>
        <v/>
      </c>
      <c r="JN12" s="84" t="str">
        <f t="shared" si="14"/>
        <v/>
      </c>
      <c r="JO12" s="84" t="str">
        <f t="shared" si="14"/>
        <v/>
      </c>
      <c r="JP12" s="84" t="str">
        <f t="shared" si="14"/>
        <v/>
      </c>
      <c r="JQ12" s="84" t="str">
        <f t="shared" si="14"/>
        <v/>
      </c>
      <c r="JR12" s="84" t="str">
        <f t="shared" si="14"/>
        <v/>
      </c>
      <c r="JS12" s="84" t="str">
        <f t="shared" si="14"/>
        <v/>
      </c>
      <c r="JT12" s="84" t="str">
        <f t="shared" si="14"/>
        <v/>
      </c>
      <c r="JU12" s="84" t="str">
        <f t="shared" si="14"/>
        <v/>
      </c>
      <c r="JV12" s="84" t="str">
        <f t="shared" si="14"/>
        <v/>
      </c>
      <c r="JW12" s="84" t="str">
        <f t="shared" si="14"/>
        <v/>
      </c>
      <c r="JX12" s="84" t="str">
        <f t="shared" si="14"/>
        <v/>
      </c>
      <c r="JY12" s="84" t="str">
        <f t="shared" si="14"/>
        <v/>
      </c>
      <c r="JZ12" s="84" t="str">
        <f t="shared" si="14"/>
        <v/>
      </c>
      <c r="KA12" s="84" t="str">
        <f t="shared" si="14"/>
        <v/>
      </c>
      <c r="KB12" s="84" t="str">
        <f t="shared" si="14"/>
        <v/>
      </c>
      <c r="KC12" s="84" t="str">
        <f t="shared" si="14"/>
        <v/>
      </c>
      <c r="KD12" s="84" t="str">
        <f t="shared" si="14"/>
        <v/>
      </c>
      <c r="KE12" s="84" t="str">
        <f t="shared" si="14"/>
        <v/>
      </c>
      <c r="KF12" s="84" t="str">
        <f t="shared" si="14"/>
        <v/>
      </c>
      <c r="KG12" s="84" t="str">
        <f t="shared" si="14"/>
        <v/>
      </c>
      <c r="KH12" s="84" t="str">
        <f t="shared" si="14"/>
        <v/>
      </c>
      <c r="KI12" s="84" t="str">
        <f t="shared" si="14"/>
        <v/>
      </c>
      <c r="KJ12" s="84" t="str">
        <f t="shared" si="14"/>
        <v/>
      </c>
      <c r="KK12" s="84" t="str">
        <f t="shared" si="14"/>
        <v/>
      </c>
      <c r="KL12" s="84" t="str">
        <f t="shared" si="14"/>
        <v/>
      </c>
      <c r="KM12" s="84" t="str">
        <f t="shared" si="14"/>
        <v/>
      </c>
      <c r="KN12" s="84" t="str">
        <f t="shared" si="14"/>
        <v/>
      </c>
      <c r="KO12" s="84" t="str">
        <f t="shared" si="14"/>
        <v/>
      </c>
      <c r="KP12" s="84" t="str">
        <f t="shared" si="14"/>
        <v/>
      </c>
      <c r="KQ12" s="84" t="str">
        <f t="shared" si="14"/>
        <v/>
      </c>
      <c r="KR12" s="84" t="str">
        <f t="shared" si="14"/>
        <v/>
      </c>
      <c r="KS12" s="84" t="str">
        <f t="shared" si="14"/>
        <v/>
      </c>
      <c r="KT12" s="84" t="str">
        <f t="shared" si="14"/>
        <v/>
      </c>
      <c r="KU12" s="84" t="str">
        <f t="shared" si="14"/>
        <v/>
      </c>
      <c r="KV12" s="84" t="str">
        <f t="shared" si="14"/>
        <v/>
      </c>
      <c r="KW12" s="84" t="str">
        <f t="shared" si="14"/>
        <v/>
      </c>
      <c r="KX12" s="84" t="str">
        <f t="shared" si="14"/>
        <v/>
      </c>
      <c r="KY12" s="84" t="str">
        <f t="shared" si="14"/>
        <v/>
      </c>
      <c r="KZ12" s="84" t="str">
        <f t="shared" si="14"/>
        <v/>
      </c>
      <c r="LA12" s="84" t="str">
        <f t="shared" si="14"/>
        <v/>
      </c>
      <c r="LB12" s="84" t="str">
        <f t="shared" si="14"/>
        <v/>
      </c>
      <c r="LC12" s="84" t="str">
        <f t="shared" si="14"/>
        <v/>
      </c>
      <c r="LD12" s="84" t="str">
        <f t="shared" si="14"/>
        <v/>
      </c>
      <c r="LE12" s="84" t="str">
        <f t="shared" si="14"/>
        <v/>
      </c>
      <c r="LF12" s="84" t="str">
        <f t="shared" si="14"/>
        <v/>
      </c>
      <c r="LG12" s="84" t="str">
        <f t="shared" si="14"/>
        <v/>
      </c>
      <c r="LH12" s="84" t="str">
        <f t="shared" si="14"/>
        <v/>
      </c>
      <c r="LI12" s="84" t="str">
        <f t="shared" si="14"/>
        <v/>
      </c>
      <c r="LJ12" s="84" t="str">
        <f t="shared" si="14"/>
        <v/>
      </c>
      <c r="LK12" s="84" t="str">
        <f t="shared" si="14"/>
        <v/>
      </c>
      <c r="LL12" s="84" t="str">
        <f t="shared" si="14"/>
        <v/>
      </c>
      <c r="LM12" s="84" t="str">
        <f t="shared" si="14"/>
        <v/>
      </c>
      <c r="LN12" s="84" t="str">
        <f t="shared" si="14"/>
        <v/>
      </c>
      <c r="LO12" s="84" t="str">
        <f t="shared" si="14"/>
        <v/>
      </c>
      <c r="LP12" s="84" t="str">
        <f t="shared" si="14"/>
        <v/>
      </c>
      <c r="LQ12" s="84" t="str">
        <f t="shared" ref="LQ12:OB12" si="15">IF(LQ5&lt;&gt;"","H","")</f>
        <v/>
      </c>
      <c r="LR12" s="84" t="str">
        <f t="shared" si="15"/>
        <v/>
      </c>
      <c r="LS12" s="84" t="str">
        <f t="shared" si="15"/>
        <v/>
      </c>
      <c r="LT12" s="84" t="str">
        <f t="shared" si="15"/>
        <v/>
      </c>
      <c r="LU12" s="84" t="str">
        <f t="shared" si="15"/>
        <v/>
      </c>
      <c r="LV12" s="84" t="str">
        <f t="shared" si="15"/>
        <v/>
      </c>
      <c r="LW12" s="84" t="str">
        <f t="shared" si="15"/>
        <v/>
      </c>
      <c r="LX12" s="84" t="str">
        <f t="shared" si="15"/>
        <v/>
      </c>
      <c r="LY12" s="84" t="str">
        <f t="shared" si="15"/>
        <v/>
      </c>
      <c r="LZ12" s="84" t="str">
        <f t="shared" si="15"/>
        <v/>
      </c>
      <c r="MA12" s="84" t="str">
        <f t="shared" si="15"/>
        <v/>
      </c>
      <c r="MB12" s="84" t="str">
        <f t="shared" si="15"/>
        <v/>
      </c>
      <c r="MC12" s="84" t="str">
        <f t="shared" si="15"/>
        <v/>
      </c>
      <c r="MD12" s="84" t="str">
        <f t="shared" si="15"/>
        <v/>
      </c>
      <c r="ME12" s="84" t="str">
        <f t="shared" si="15"/>
        <v/>
      </c>
      <c r="MF12" s="84" t="str">
        <f t="shared" si="15"/>
        <v/>
      </c>
      <c r="MG12" s="84" t="str">
        <f t="shared" si="15"/>
        <v/>
      </c>
      <c r="MH12" s="84" t="str">
        <f t="shared" si="15"/>
        <v/>
      </c>
      <c r="MI12" s="84" t="str">
        <f t="shared" si="15"/>
        <v/>
      </c>
      <c r="MJ12" s="84" t="str">
        <f t="shared" si="15"/>
        <v/>
      </c>
      <c r="MK12" s="84" t="str">
        <f t="shared" si="15"/>
        <v/>
      </c>
      <c r="ML12" s="84" t="str">
        <f t="shared" si="15"/>
        <v/>
      </c>
      <c r="MM12" s="84" t="str">
        <f t="shared" si="15"/>
        <v/>
      </c>
      <c r="MN12" s="84" t="str">
        <f t="shared" si="15"/>
        <v/>
      </c>
      <c r="MO12" s="84" t="str">
        <f t="shared" si="15"/>
        <v/>
      </c>
      <c r="MP12" s="84" t="str">
        <f t="shared" si="15"/>
        <v/>
      </c>
      <c r="MQ12" s="84" t="str">
        <f t="shared" si="15"/>
        <v/>
      </c>
      <c r="MR12" s="84" t="str">
        <f t="shared" si="15"/>
        <v/>
      </c>
      <c r="MS12" s="84" t="str">
        <f t="shared" si="15"/>
        <v/>
      </c>
      <c r="MT12" s="84" t="str">
        <f t="shared" si="15"/>
        <v/>
      </c>
      <c r="MU12" s="84" t="str">
        <f t="shared" si="15"/>
        <v/>
      </c>
      <c r="MV12" s="84" t="str">
        <f t="shared" si="15"/>
        <v/>
      </c>
      <c r="MW12" s="84" t="str">
        <f t="shared" si="15"/>
        <v/>
      </c>
      <c r="MX12" s="84" t="str">
        <f t="shared" si="15"/>
        <v/>
      </c>
      <c r="MY12" s="84" t="str">
        <f t="shared" si="15"/>
        <v/>
      </c>
      <c r="MZ12" s="84" t="str">
        <f t="shared" si="15"/>
        <v/>
      </c>
      <c r="NA12" s="84" t="str">
        <f t="shared" si="15"/>
        <v/>
      </c>
      <c r="NB12" s="84" t="str">
        <f t="shared" si="15"/>
        <v/>
      </c>
      <c r="NC12" s="84" t="str">
        <f t="shared" si="15"/>
        <v/>
      </c>
      <c r="ND12" s="84" t="str">
        <f t="shared" si="15"/>
        <v/>
      </c>
      <c r="NE12" s="84" t="str">
        <f t="shared" si="15"/>
        <v/>
      </c>
      <c r="NF12" s="84" t="str">
        <f t="shared" si="15"/>
        <v/>
      </c>
      <c r="NG12" s="84" t="str">
        <f t="shared" si="15"/>
        <v/>
      </c>
      <c r="NH12" s="84" t="str">
        <f t="shared" si="15"/>
        <v/>
      </c>
      <c r="NI12" s="84" t="str">
        <f t="shared" si="15"/>
        <v/>
      </c>
      <c r="NJ12" s="84" t="str">
        <f t="shared" si="15"/>
        <v/>
      </c>
      <c r="NK12" s="84" t="str">
        <f t="shared" si="15"/>
        <v/>
      </c>
      <c r="NL12" s="84" t="str">
        <f t="shared" si="15"/>
        <v/>
      </c>
      <c r="NM12" s="84" t="str">
        <f t="shared" si="15"/>
        <v/>
      </c>
      <c r="NN12" s="84" t="str">
        <f t="shared" si="15"/>
        <v/>
      </c>
      <c r="NO12" s="84" t="str">
        <f t="shared" si="15"/>
        <v/>
      </c>
      <c r="NP12" s="84" t="str">
        <f t="shared" si="15"/>
        <v/>
      </c>
      <c r="NQ12" s="84" t="str">
        <f t="shared" si="15"/>
        <v/>
      </c>
      <c r="NR12" s="84" t="str">
        <f t="shared" si="15"/>
        <v/>
      </c>
      <c r="NS12" s="84" t="str">
        <f t="shared" si="15"/>
        <v/>
      </c>
      <c r="NT12" s="84" t="str">
        <f t="shared" si="15"/>
        <v/>
      </c>
      <c r="NU12" s="84" t="str">
        <f t="shared" si="15"/>
        <v/>
      </c>
      <c r="NV12" s="84" t="str">
        <f t="shared" si="15"/>
        <v/>
      </c>
      <c r="NW12" s="84" t="str">
        <f t="shared" si="15"/>
        <v/>
      </c>
      <c r="NX12" s="84" t="str">
        <f t="shared" si="15"/>
        <v/>
      </c>
      <c r="NY12" s="84" t="str">
        <f t="shared" si="15"/>
        <v/>
      </c>
      <c r="NZ12" s="84" t="str">
        <f t="shared" si="15"/>
        <v/>
      </c>
      <c r="OA12" s="84" t="str">
        <f t="shared" si="15"/>
        <v/>
      </c>
      <c r="OB12" s="84" t="str">
        <f t="shared" si="15"/>
        <v/>
      </c>
      <c r="OC12" s="84" t="str">
        <f t="shared" ref="OC12:QN12" si="16">IF(OC5&lt;&gt;"","H","")</f>
        <v/>
      </c>
      <c r="OD12" s="84" t="str">
        <f t="shared" si="16"/>
        <v/>
      </c>
      <c r="OE12" s="84" t="str">
        <f t="shared" si="16"/>
        <v/>
      </c>
      <c r="OF12" s="84" t="str">
        <f t="shared" si="16"/>
        <v/>
      </c>
      <c r="OG12" s="84" t="str">
        <f t="shared" si="16"/>
        <v/>
      </c>
      <c r="OH12" s="84" t="str">
        <f t="shared" si="16"/>
        <v/>
      </c>
      <c r="OI12" s="84" t="str">
        <f t="shared" si="16"/>
        <v/>
      </c>
      <c r="OJ12" s="84" t="str">
        <f t="shared" si="16"/>
        <v/>
      </c>
      <c r="OK12" s="84" t="str">
        <f t="shared" si="16"/>
        <v/>
      </c>
      <c r="OL12" s="84" t="str">
        <f t="shared" si="16"/>
        <v/>
      </c>
      <c r="OM12" s="84" t="str">
        <f t="shared" si="16"/>
        <v/>
      </c>
      <c r="ON12" s="84" t="str">
        <f t="shared" si="16"/>
        <v/>
      </c>
      <c r="OO12" s="84" t="str">
        <f t="shared" si="16"/>
        <v/>
      </c>
      <c r="OP12" s="84" t="str">
        <f t="shared" si="16"/>
        <v/>
      </c>
      <c r="OQ12" s="84" t="str">
        <f t="shared" si="16"/>
        <v/>
      </c>
      <c r="OR12" s="84" t="str">
        <f t="shared" si="16"/>
        <v/>
      </c>
      <c r="OS12" s="84" t="str">
        <f t="shared" si="16"/>
        <v/>
      </c>
      <c r="OT12" s="84" t="str">
        <f t="shared" si="16"/>
        <v/>
      </c>
      <c r="OU12" s="84" t="str">
        <f t="shared" si="16"/>
        <v/>
      </c>
      <c r="OV12" s="84" t="str">
        <f t="shared" si="16"/>
        <v/>
      </c>
      <c r="OW12" s="84" t="str">
        <f t="shared" si="16"/>
        <v/>
      </c>
      <c r="OX12" s="84" t="str">
        <f t="shared" si="16"/>
        <v/>
      </c>
      <c r="OY12" s="84" t="str">
        <f t="shared" si="16"/>
        <v/>
      </c>
      <c r="OZ12" s="84" t="str">
        <f t="shared" si="16"/>
        <v/>
      </c>
      <c r="PA12" s="84" t="str">
        <f t="shared" si="16"/>
        <v/>
      </c>
      <c r="PB12" s="84" t="str">
        <f t="shared" si="16"/>
        <v/>
      </c>
      <c r="PC12" s="84" t="str">
        <f t="shared" si="16"/>
        <v/>
      </c>
      <c r="PD12" s="84" t="str">
        <f t="shared" si="16"/>
        <v/>
      </c>
      <c r="PE12" s="84" t="str">
        <f t="shared" si="16"/>
        <v/>
      </c>
      <c r="PF12" s="84" t="str">
        <f t="shared" si="16"/>
        <v/>
      </c>
      <c r="PG12" s="84" t="str">
        <f t="shared" si="16"/>
        <v/>
      </c>
      <c r="PH12" s="84" t="str">
        <f t="shared" si="16"/>
        <v/>
      </c>
      <c r="PI12" s="84" t="str">
        <f t="shared" si="16"/>
        <v/>
      </c>
      <c r="PJ12" s="84" t="str">
        <f t="shared" si="16"/>
        <v/>
      </c>
      <c r="PK12" s="84" t="str">
        <f t="shared" si="16"/>
        <v/>
      </c>
      <c r="PL12" s="84" t="str">
        <f t="shared" si="16"/>
        <v/>
      </c>
      <c r="PM12" s="84" t="str">
        <f t="shared" si="16"/>
        <v/>
      </c>
      <c r="PN12" s="84" t="str">
        <f t="shared" si="16"/>
        <v/>
      </c>
      <c r="PO12" s="84" t="str">
        <f t="shared" si="16"/>
        <v/>
      </c>
      <c r="PP12" s="84" t="str">
        <f t="shared" si="16"/>
        <v/>
      </c>
      <c r="PQ12" s="84" t="str">
        <f t="shared" si="16"/>
        <v/>
      </c>
      <c r="PR12" s="84" t="str">
        <f t="shared" si="16"/>
        <v/>
      </c>
      <c r="PS12" s="84" t="str">
        <f t="shared" si="16"/>
        <v/>
      </c>
      <c r="PT12" s="84" t="str">
        <f t="shared" si="16"/>
        <v/>
      </c>
      <c r="PU12" s="84" t="str">
        <f t="shared" si="16"/>
        <v/>
      </c>
      <c r="PV12" s="84" t="str">
        <f t="shared" si="16"/>
        <v/>
      </c>
      <c r="PW12" s="84" t="str">
        <f t="shared" si="16"/>
        <v/>
      </c>
      <c r="PX12" s="84" t="str">
        <f t="shared" si="16"/>
        <v/>
      </c>
      <c r="PY12" s="84" t="str">
        <f t="shared" si="16"/>
        <v/>
      </c>
      <c r="PZ12" s="84" t="str">
        <f t="shared" si="16"/>
        <v/>
      </c>
      <c r="QA12" s="84" t="str">
        <f t="shared" si="16"/>
        <v/>
      </c>
      <c r="QB12" s="84" t="str">
        <f t="shared" si="16"/>
        <v/>
      </c>
      <c r="QC12" s="84" t="str">
        <f t="shared" si="16"/>
        <v/>
      </c>
      <c r="QD12" s="84" t="str">
        <f t="shared" si="16"/>
        <v/>
      </c>
      <c r="QE12" s="84" t="str">
        <f t="shared" si="16"/>
        <v/>
      </c>
      <c r="QF12" s="84" t="str">
        <f t="shared" si="16"/>
        <v/>
      </c>
      <c r="QG12" s="84" t="str">
        <f t="shared" si="16"/>
        <v/>
      </c>
      <c r="QH12" s="84" t="str">
        <f t="shared" si="16"/>
        <v/>
      </c>
      <c r="QI12" s="84" t="str">
        <f t="shared" si="16"/>
        <v/>
      </c>
      <c r="QJ12" s="84" t="str">
        <f t="shared" si="16"/>
        <v/>
      </c>
      <c r="QK12" s="84" t="str">
        <f t="shared" si="16"/>
        <v/>
      </c>
      <c r="QL12" s="84" t="str">
        <f t="shared" si="16"/>
        <v/>
      </c>
      <c r="QM12" s="84" t="str">
        <f t="shared" si="16"/>
        <v/>
      </c>
      <c r="QN12" s="84" t="str">
        <f t="shared" si="16"/>
        <v/>
      </c>
      <c r="QO12" s="84" t="str">
        <f t="shared" ref="QO12:SN12" si="17">IF(QO5&lt;&gt;"","H","")</f>
        <v/>
      </c>
      <c r="QP12" s="84" t="str">
        <f t="shared" si="17"/>
        <v/>
      </c>
      <c r="QQ12" s="84" t="str">
        <f t="shared" si="17"/>
        <v/>
      </c>
      <c r="QR12" s="84" t="str">
        <f t="shared" si="17"/>
        <v/>
      </c>
      <c r="QS12" s="84" t="str">
        <f t="shared" si="17"/>
        <v/>
      </c>
      <c r="QT12" s="84" t="str">
        <f t="shared" si="17"/>
        <v/>
      </c>
      <c r="QU12" s="84" t="str">
        <f t="shared" si="17"/>
        <v/>
      </c>
      <c r="QV12" s="84" t="str">
        <f t="shared" si="17"/>
        <v/>
      </c>
      <c r="QW12" s="84" t="str">
        <f t="shared" si="17"/>
        <v/>
      </c>
      <c r="QX12" s="84" t="str">
        <f t="shared" si="17"/>
        <v/>
      </c>
      <c r="QY12" s="84" t="str">
        <f t="shared" si="17"/>
        <v/>
      </c>
      <c r="QZ12" s="84" t="str">
        <f t="shared" si="17"/>
        <v/>
      </c>
      <c r="RA12" s="84" t="str">
        <f t="shared" si="17"/>
        <v/>
      </c>
      <c r="RB12" s="84" t="str">
        <f t="shared" si="17"/>
        <v/>
      </c>
      <c r="RC12" s="84" t="str">
        <f t="shared" si="17"/>
        <v/>
      </c>
      <c r="RD12" s="84" t="str">
        <f t="shared" si="17"/>
        <v/>
      </c>
      <c r="RE12" s="84" t="str">
        <f t="shared" si="17"/>
        <v/>
      </c>
      <c r="RF12" s="84" t="str">
        <f t="shared" si="17"/>
        <v/>
      </c>
      <c r="RG12" s="84" t="str">
        <f t="shared" si="17"/>
        <v/>
      </c>
      <c r="RH12" s="84" t="str">
        <f t="shared" si="17"/>
        <v/>
      </c>
      <c r="RI12" s="84" t="str">
        <f t="shared" si="17"/>
        <v/>
      </c>
      <c r="RJ12" s="84" t="str">
        <f t="shared" si="17"/>
        <v/>
      </c>
      <c r="RK12" s="84" t="str">
        <f t="shared" si="17"/>
        <v/>
      </c>
      <c r="RL12" s="84" t="str">
        <f t="shared" si="17"/>
        <v/>
      </c>
      <c r="RM12" s="84" t="str">
        <f t="shared" si="17"/>
        <v/>
      </c>
      <c r="RN12" s="84" t="str">
        <f t="shared" si="17"/>
        <v/>
      </c>
      <c r="RO12" s="84" t="str">
        <f t="shared" si="17"/>
        <v/>
      </c>
      <c r="RP12" s="84" t="str">
        <f t="shared" si="17"/>
        <v/>
      </c>
      <c r="RQ12" s="84" t="str">
        <f t="shared" si="17"/>
        <v/>
      </c>
      <c r="RR12" s="84" t="str">
        <f t="shared" si="17"/>
        <v/>
      </c>
      <c r="RS12" s="84" t="str">
        <f t="shared" si="17"/>
        <v/>
      </c>
      <c r="RT12" s="84" t="str">
        <f t="shared" si="17"/>
        <v/>
      </c>
      <c r="RU12" s="84" t="str">
        <f t="shared" si="17"/>
        <v/>
      </c>
      <c r="RV12" s="84" t="str">
        <f t="shared" si="17"/>
        <v/>
      </c>
      <c r="RW12" s="84" t="str">
        <f t="shared" si="17"/>
        <v/>
      </c>
      <c r="RX12" s="84" t="str">
        <f t="shared" si="17"/>
        <v/>
      </c>
      <c r="RY12" s="84" t="str">
        <f t="shared" si="17"/>
        <v/>
      </c>
      <c r="RZ12" s="84" t="str">
        <f t="shared" si="17"/>
        <v/>
      </c>
      <c r="SA12" s="84" t="str">
        <f t="shared" si="17"/>
        <v/>
      </c>
      <c r="SB12" s="84" t="str">
        <f t="shared" si="17"/>
        <v/>
      </c>
      <c r="SC12" s="84" t="str">
        <f t="shared" si="17"/>
        <v/>
      </c>
      <c r="SD12" s="84" t="str">
        <f t="shared" si="17"/>
        <v/>
      </c>
      <c r="SE12" s="84" t="str">
        <f t="shared" si="17"/>
        <v/>
      </c>
      <c r="SF12" s="84" t="str">
        <f t="shared" si="17"/>
        <v/>
      </c>
      <c r="SG12" s="84" t="str">
        <f t="shared" si="17"/>
        <v/>
      </c>
      <c r="SH12" s="84" t="str">
        <f t="shared" si="17"/>
        <v/>
      </c>
      <c r="SI12" s="84" t="str">
        <f t="shared" si="17"/>
        <v/>
      </c>
      <c r="SJ12" s="84" t="str">
        <f t="shared" si="17"/>
        <v/>
      </c>
      <c r="SK12" s="84" t="str">
        <f t="shared" si="17"/>
        <v/>
      </c>
      <c r="SL12" s="84" t="str">
        <f t="shared" si="17"/>
        <v/>
      </c>
      <c r="SM12" s="84" t="str">
        <f t="shared" si="17"/>
        <v/>
      </c>
      <c r="SN12" s="84" t="str">
        <f t="shared" si="17"/>
        <v/>
      </c>
    </row>
    <row r="13" spans="2:508">
      <c r="B13" s="141" t="str">
        <f t="shared" si="8"/>
        <v>LC</v>
      </c>
      <c r="C13" s="141" t="str">
        <f t="shared" si="8"/>
        <v>Prac 1</v>
      </c>
      <c r="D13" s="157" t="str">
        <f t="shared" si="8"/>
        <v>14x7</v>
      </c>
      <c r="E13" s="161" t="str">
        <f t="shared" si="8"/>
        <v/>
      </c>
      <c r="F13" s="160" t="str">
        <f t="shared" si="8"/>
        <v/>
      </c>
      <c r="G13" s="84" t="str">
        <f t="shared" si="9"/>
        <v/>
      </c>
      <c r="H13" s="84" t="str">
        <f t="shared" si="9"/>
        <v/>
      </c>
      <c r="I13" s="84" t="str">
        <f t="shared" ref="I13:BT13" si="18">IF(I6&lt;&gt;"","H","")</f>
        <v/>
      </c>
      <c r="J13" s="84" t="str">
        <f t="shared" si="18"/>
        <v/>
      </c>
      <c r="K13" s="84" t="str">
        <f t="shared" si="18"/>
        <v/>
      </c>
      <c r="L13" s="84" t="str">
        <f t="shared" si="18"/>
        <v/>
      </c>
      <c r="M13" s="84" t="str">
        <f t="shared" si="18"/>
        <v/>
      </c>
      <c r="N13" s="84" t="str">
        <f t="shared" si="18"/>
        <v/>
      </c>
      <c r="O13" s="84" t="str">
        <f t="shared" si="18"/>
        <v/>
      </c>
      <c r="P13" s="84" t="str">
        <f t="shared" si="18"/>
        <v/>
      </c>
      <c r="Q13" s="84" t="str">
        <f t="shared" si="18"/>
        <v/>
      </c>
      <c r="R13" s="84" t="str">
        <f t="shared" si="18"/>
        <v/>
      </c>
      <c r="S13" s="84" t="str">
        <f t="shared" si="18"/>
        <v/>
      </c>
      <c r="T13" s="84" t="str">
        <f t="shared" si="18"/>
        <v/>
      </c>
      <c r="U13" s="84" t="str">
        <f t="shared" si="18"/>
        <v/>
      </c>
      <c r="V13" s="84" t="str">
        <f t="shared" si="18"/>
        <v/>
      </c>
      <c r="W13" s="84" t="str">
        <f t="shared" si="18"/>
        <v/>
      </c>
      <c r="X13" s="84" t="str">
        <f t="shared" si="18"/>
        <v/>
      </c>
      <c r="Y13" s="84" t="str">
        <f t="shared" si="18"/>
        <v/>
      </c>
      <c r="Z13" s="84" t="str">
        <f t="shared" si="18"/>
        <v/>
      </c>
      <c r="AA13" s="84" t="str">
        <f t="shared" si="18"/>
        <v/>
      </c>
      <c r="AB13" s="84" t="str">
        <f t="shared" si="18"/>
        <v/>
      </c>
      <c r="AC13" s="84" t="str">
        <f t="shared" si="18"/>
        <v/>
      </c>
      <c r="AD13" s="84" t="str">
        <f t="shared" si="18"/>
        <v/>
      </c>
      <c r="AE13" s="84" t="str">
        <f t="shared" si="18"/>
        <v/>
      </c>
      <c r="AF13" s="84" t="str">
        <f t="shared" si="18"/>
        <v/>
      </c>
      <c r="AG13" s="84" t="str">
        <f t="shared" si="18"/>
        <v/>
      </c>
      <c r="AH13" s="84" t="str">
        <f t="shared" si="18"/>
        <v/>
      </c>
      <c r="AI13" s="84" t="str">
        <f t="shared" si="18"/>
        <v/>
      </c>
      <c r="AJ13" s="84" t="str">
        <f t="shared" si="18"/>
        <v/>
      </c>
      <c r="AK13" s="84" t="str">
        <f t="shared" si="18"/>
        <v/>
      </c>
      <c r="AL13" s="84" t="str">
        <f t="shared" si="18"/>
        <v/>
      </c>
      <c r="AM13" s="84" t="str">
        <f t="shared" si="18"/>
        <v/>
      </c>
      <c r="AN13" s="84" t="str">
        <f t="shared" si="18"/>
        <v/>
      </c>
      <c r="AO13" s="84" t="str">
        <f t="shared" si="18"/>
        <v/>
      </c>
      <c r="AP13" s="84" t="str">
        <f t="shared" si="18"/>
        <v/>
      </c>
      <c r="AQ13" s="84" t="str">
        <f t="shared" si="18"/>
        <v/>
      </c>
      <c r="AR13" s="84" t="str">
        <f t="shared" si="18"/>
        <v/>
      </c>
      <c r="AS13" s="84" t="str">
        <f t="shared" si="18"/>
        <v/>
      </c>
      <c r="AT13" s="84" t="str">
        <f t="shared" si="18"/>
        <v/>
      </c>
      <c r="AU13" s="84" t="str">
        <f t="shared" si="18"/>
        <v/>
      </c>
      <c r="AV13" s="84" t="str">
        <f t="shared" si="18"/>
        <v/>
      </c>
      <c r="AW13" s="84" t="str">
        <f t="shared" si="18"/>
        <v/>
      </c>
      <c r="AX13" s="84" t="str">
        <f t="shared" si="18"/>
        <v/>
      </c>
      <c r="AY13" s="84" t="str">
        <f t="shared" si="18"/>
        <v/>
      </c>
      <c r="AZ13" s="84" t="str">
        <f t="shared" si="18"/>
        <v/>
      </c>
      <c r="BA13" s="84" t="str">
        <f t="shared" si="18"/>
        <v/>
      </c>
      <c r="BB13" s="84" t="str">
        <f t="shared" si="18"/>
        <v/>
      </c>
      <c r="BC13" s="84" t="str">
        <f t="shared" si="18"/>
        <v/>
      </c>
      <c r="BD13" s="84" t="str">
        <f t="shared" si="18"/>
        <v/>
      </c>
      <c r="BE13" s="84" t="str">
        <f t="shared" si="18"/>
        <v/>
      </c>
      <c r="BF13" s="84" t="str">
        <f t="shared" si="18"/>
        <v/>
      </c>
      <c r="BG13" s="84" t="str">
        <f t="shared" si="18"/>
        <v/>
      </c>
      <c r="BH13" s="84" t="str">
        <f t="shared" si="18"/>
        <v/>
      </c>
      <c r="BI13" s="84" t="str">
        <f t="shared" si="18"/>
        <v/>
      </c>
      <c r="BJ13" s="84" t="str">
        <f t="shared" si="18"/>
        <v/>
      </c>
      <c r="BK13" s="84" t="str">
        <f t="shared" si="18"/>
        <v/>
      </c>
      <c r="BL13" s="84" t="str">
        <f t="shared" si="18"/>
        <v/>
      </c>
      <c r="BM13" s="84" t="str">
        <f t="shared" si="18"/>
        <v/>
      </c>
      <c r="BN13" s="84" t="str">
        <f t="shared" si="18"/>
        <v/>
      </c>
      <c r="BO13" s="84" t="str">
        <f t="shared" si="18"/>
        <v/>
      </c>
      <c r="BP13" s="84" t="str">
        <f t="shared" si="18"/>
        <v/>
      </c>
      <c r="BQ13" s="84" t="str">
        <f t="shared" si="18"/>
        <v/>
      </c>
      <c r="BR13" s="84" t="str">
        <f t="shared" si="18"/>
        <v/>
      </c>
      <c r="BS13" s="84" t="str">
        <f t="shared" si="18"/>
        <v/>
      </c>
      <c r="BT13" s="84" t="str">
        <f t="shared" si="18"/>
        <v/>
      </c>
      <c r="BU13" s="84" t="str">
        <f t="shared" ref="BU13:EF13" si="19">IF(BU6&lt;&gt;"","H","")</f>
        <v/>
      </c>
      <c r="BV13" s="84" t="str">
        <f t="shared" si="19"/>
        <v/>
      </c>
      <c r="BW13" s="84" t="str">
        <f t="shared" si="19"/>
        <v/>
      </c>
      <c r="BX13" s="84" t="str">
        <f t="shared" si="19"/>
        <v/>
      </c>
      <c r="BY13" s="84" t="str">
        <f t="shared" si="19"/>
        <v/>
      </c>
      <c r="BZ13" s="84" t="str">
        <f t="shared" si="19"/>
        <v/>
      </c>
      <c r="CA13" s="84" t="str">
        <f t="shared" si="19"/>
        <v/>
      </c>
      <c r="CB13" s="84" t="str">
        <f t="shared" si="19"/>
        <v/>
      </c>
      <c r="CC13" s="84" t="str">
        <f t="shared" si="19"/>
        <v/>
      </c>
      <c r="CD13" s="84" t="str">
        <f t="shared" si="19"/>
        <v/>
      </c>
      <c r="CE13" s="84" t="str">
        <f t="shared" si="19"/>
        <v/>
      </c>
      <c r="CF13" s="84" t="str">
        <f t="shared" si="19"/>
        <v/>
      </c>
      <c r="CG13" s="84" t="str">
        <f t="shared" si="19"/>
        <v/>
      </c>
      <c r="CH13" s="84" t="str">
        <f t="shared" si="19"/>
        <v/>
      </c>
      <c r="CI13" s="84" t="str">
        <f t="shared" si="19"/>
        <v/>
      </c>
      <c r="CJ13" s="84" t="str">
        <f t="shared" si="19"/>
        <v/>
      </c>
      <c r="CK13" s="84" t="str">
        <f t="shared" si="19"/>
        <v/>
      </c>
      <c r="CL13" s="84" t="str">
        <f t="shared" si="19"/>
        <v/>
      </c>
      <c r="CM13" s="84" t="str">
        <f t="shared" si="19"/>
        <v/>
      </c>
      <c r="CN13" s="84" t="str">
        <f t="shared" si="19"/>
        <v/>
      </c>
      <c r="CO13" s="84" t="str">
        <f t="shared" si="19"/>
        <v/>
      </c>
      <c r="CP13" s="84" t="str">
        <f t="shared" si="19"/>
        <v/>
      </c>
      <c r="CQ13" s="84" t="str">
        <f t="shared" si="19"/>
        <v/>
      </c>
      <c r="CR13" s="84" t="str">
        <f t="shared" si="19"/>
        <v/>
      </c>
      <c r="CS13" s="84" t="str">
        <f t="shared" si="19"/>
        <v/>
      </c>
      <c r="CT13" s="84" t="str">
        <f t="shared" si="19"/>
        <v/>
      </c>
      <c r="CU13" s="84" t="str">
        <f t="shared" si="19"/>
        <v/>
      </c>
      <c r="CV13" s="84" t="str">
        <f t="shared" si="19"/>
        <v/>
      </c>
      <c r="CW13" s="84" t="str">
        <f t="shared" si="19"/>
        <v/>
      </c>
      <c r="CX13" s="84" t="str">
        <f t="shared" si="19"/>
        <v/>
      </c>
      <c r="CY13" s="84" t="str">
        <f t="shared" si="19"/>
        <v/>
      </c>
      <c r="CZ13" s="84" t="str">
        <f t="shared" si="19"/>
        <v/>
      </c>
      <c r="DA13" s="84" t="str">
        <f t="shared" si="19"/>
        <v/>
      </c>
      <c r="DB13" s="84" t="str">
        <f t="shared" si="19"/>
        <v/>
      </c>
      <c r="DC13" s="84" t="str">
        <f t="shared" si="19"/>
        <v/>
      </c>
      <c r="DD13" s="84" t="str">
        <f t="shared" si="19"/>
        <v/>
      </c>
      <c r="DE13" s="84" t="str">
        <f t="shared" si="19"/>
        <v/>
      </c>
      <c r="DF13" s="84" t="str">
        <f t="shared" si="19"/>
        <v/>
      </c>
      <c r="DG13" s="84" t="str">
        <f t="shared" si="19"/>
        <v/>
      </c>
      <c r="DH13" s="84" t="str">
        <f t="shared" si="19"/>
        <v/>
      </c>
      <c r="DI13" s="84" t="str">
        <f t="shared" si="19"/>
        <v/>
      </c>
      <c r="DJ13" s="84" t="str">
        <f t="shared" si="19"/>
        <v/>
      </c>
      <c r="DK13" s="84" t="str">
        <f t="shared" si="19"/>
        <v/>
      </c>
      <c r="DL13" s="84" t="str">
        <f t="shared" si="19"/>
        <v/>
      </c>
      <c r="DM13" s="84" t="str">
        <f t="shared" si="19"/>
        <v/>
      </c>
      <c r="DN13" s="84" t="str">
        <f t="shared" si="19"/>
        <v/>
      </c>
      <c r="DO13" s="84" t="str">
        <f t="shared" si="19"/>
        <v/>
      </c>
      <c r="DP13" s="84" t="str">
        <f t="shared" si="19"/>
        <v/>
      </c>
      <c r="DQ13" s="84" t="str">
        <f t="shared" si="19"/>
        <v/>
      </c>
      <c r="DR13" s="84" t="str">
        <f t="shared" si="19"/>
        <v/>
      </c>
      <c r="DS13" s="84" t="str">
        <f t="shared" si="19"/>
        <v/>
      </c>
      <c r="DT13" s="84" t="str">
        <f t="shared" si="19"/>
        <v/>
      </c>
      <c r="DU13" s="84" t="str">
        <f t="shared" si="19"/>
        <v/>
      </c>
      <c r="DV13" s="84" t="str">
        <f t="shared" si="19"/>
        <v/>
      </c>
      <c r="DW13" s="84" t="str">
        <f t="shared" si="19"/>
        <v/>
      </c>
      <c r="DX13" s="84" t="str">
        <f t="shared" si="19"/>
        <v/>
      </c>
      <c r="DY13" s="84" t="str">
        <f t="shared" si="19"/>
        <v/>
      </c>
      <c r="DZ13" s="84" t="str">
        <f t="shared" si="19"/>
        <v/>
      </c>
      <c r="EA13" s="84" t="str">
        <f t="shared" si="19"/>
        <v/>
      </c>
      <c r="EB13" s="84" t="str">
        <f t="shared" si="19"/>
        <v/>
      </c>
      <c r="EC13" s="84" t="str">
        <f t="shared" si="19"/>
        <v/>
      </c>
      <c r="ED13" s="84" t="str">
        <f t="shared" si="19"/>
        <v/>
      </c>
      <c r="EE13" s="84" t="str">
        <f t="shared" si="19"/>
        <v/>
      </c>
      <c r="EF13" s="84" t="str">
        <f t="shared" si="19"/>
        <v/>
      </c>
      <c r="EG13" s="84" t="str">
        <f t="shared" ref="EG13:GR13" si="20">IF(EG6&lt;&gt;"","H","")</f>
        <v/>
      </c>
      <c r="EH13" s="84" t="str">
        <f t="shared" si="20"/>
        <v/>
      </c>
      <c r="EI13" s="84" t="str">
        <f t="shared" si="20"/>
        <v/>
      </c>
      <c r="EJ13" s="84" t="str">
        <f t="shared" si="20"/>
        <v/>
      </c>
      <c r="EK13" s="84" t="str">
        <f t="shared" si="20"/>
        <v/>
      </c>
      <c r="EL13" s="84" t="str">
        <f t="shared" si="20"/>
        <v/>
      </c>
      <c r="EM13" s="84" t="str">
        <f t="shared" si="20"/>
        <v/>
      </c>
      <c r="EN13" s="84" t="str">
        <f t="shared" si="20"/>
        <v/>
      </c>
      <c r="EO13" s="84" t="str">
        <f t="shared" si="20"/>
        <v/>
      </c>
      <c r="EP13" s="84" t="str">
        <f t="shared" si="20"/>
        <v/>
      </c>
      <c r="EQ13" s="84" t="str">
        <f t="shared" si="20"/>
        <v/>
      </c>
      <c r="ER13" s="84" t="str">
        <f t="shared" si="20"/>
        <v/>
      </c>
      <c r="ES13" s="84" t="str">
        <f t="shared" si="20"/>
        <v/>
      </c>
      <c r="ET13" s="84" t="str">
        <f t="shared" si="20"/>
        <v/>
      </c>
      <c r="EU13" s="84" t="str">
        <f t="shared" si="20"/>
        <v/>
      </c>
      <c r="EV13" s="84" t="str">
        <f t="shared" si="20"/>
        <v/>
      </c>
      <c r="EW13" s="84" t="str">
        <f t="shared" si="20"/>
        <v/>
      </c>
      <c r="EX13" s="84" t="str">
        <f t="shared" si="20"/>
        <v/>
      </c>
      <c r="EY13" s="84" t="str">
        <f t="shared" si="20"/>
        <v/>
      </c>
      <c r="EZ13" s="84" t="str">
        <f t="shared" si="20"/>
        <v/>
      </c>
      <c r="FA13" s="84" t="str">
        <f t="shared" si="20"/>
        <v/>
      </c>
      <c r="FB13" s="84" t="str">
        <f t="shared" si="20"/>
        <v/>
      </c>
      <c r="FC13" s="84" t="str">
        <f t="shared" si="20"/>
        <v/>
      </c>
      <c r="FD13" s="84" t="str">
        <f t="shared" si="20"/>
        <v/>
      </c>
      <c r="FE13" s="84" t="str">
        <f t="shared" si="20"/>
        <v/>
      </c>
      <c r="FF13" s="84" t="str">
        <f t="shared" si="20"/>
        <v/>
      </c>
      <c r="FG13" s="84" t="str">
        <f t="shared" si="20"/>
        <v/>
      </c>
      <c r="FH13" s="84" t="str">
        <f t="shared" si="20"/>
        <v/>
      </c>
      <c r="FI13" s="84" t="str">
        <f t="shared" si="20"/>
        <v/>
      </c>
      <c r="FJ13" s="84" t="str">
        <f t="shared" si="20"/>
        <v/>
      </c>
      <c r="FK13" s="84" t="str">
        <f t="shared" si="20"/>
        <v/>
      </c>
      <c r="FL13" s="84" t="str">
        <f t="shared" si="20"/>
        <v/>
      </c>
      <c r="FM13" s="84" t="str">
        <f t="shared" si="20"/>
        <v/>
      </c>
      <c r="FN13" s="84" t="str">
        <f t="shared" si="20"/>
        <v/>
      </c>
      <c r="FO13" s="84" t="str">
        <f t="shared" si="20"/>
        <v/>
      </c>
      <c r="FP13" s="84" t="str">
        <f t="shared" si="20"/>
        <v/>
      </c>
      <c r="FQ13" s="84" t="str">
        <f t="shared" si="20"/>
        <v/>
      </c>
      <c r="FR13" s="84" t="str">
        <f t="shared" si="20"/>
        <v/>
      </c>
      <c r="FS13" s="84" t="str">
        <f t="shared" si="20"/>
        <v/>
      </c>
      <c r="FT13" s="84" t="str">
        <f t="shared" si="20"/>
        <v/>
      </c>
      <c r="FU13" s="84" t="str">
        <f t="shared" si="20"/>
        <v/>
      </c>
      <c r="FV13" s="84" t="str">
        <f t="shared" si="20"/>
        <v/>
      </c>
      <c r="FW13" s="84" t="str">
        <f t="shared" si="20"/>
        <v/>
      </c>
      <c r="FX13" s="84" t="str">
        <f t="shared" si="20"/>
        <v/>
      </c>
      <c r="FY13" s="84" t="str">
        <f t="shared" si="20"/>
        <v/>
      </c>
      <c r="FZ13" s="84" t="str">
        <f t="shared" si="20"/>
        <v/>
      </c>
      <c r="GA13" s="84" t="str">
        <f t="shared" si="20"/>
        <v/>
      </c>
      <c r="GB13" s="84" t="str">
        <f t="shared" si="20"/>
        <v/>
      </c>
      <c r="GC13" s="84" t="str">
        <f t="shared" si="20"/>
        <v/>
      </c>
      <c r="GD13" s="84" t="str">
        <f t="shared" si="20"/>
        <v/>
      </c>
      <c r="GE13" s="84" t="str">
        <f t="shared" si="20"/>
        <v/>
      </c>
      <c r="GF13" s="84" t="str">
        <f t="shared" si="20"/>
        <v/>
      </c>
      <c r="GG13" s="84" t="str">
        <f t="shared" si="20"/>
        <v/>
      </c>
      <c r="GH13" s="84" t="str">
        <f t="shared" si="20"/>
        <v/>
      </c>
      <c r="GI13" s="84" t="str">
        <f t="shared" si="20"/>
        <v/>
      </c>
      <c r="GJ13" s="84" t="str">
        <f t="shared" si="20"/>
        <v/>
      </c>
      <c r="GK13" s="84" t="str">
        <f t="shared" si="20"/>
        <v/>
      </c>
      <c r="GL13" s="84" t="str">
        <f t="shared" si="20"/>
        <v/>
      </c>
      <c r="GM13" s="84" t="str">
        <f t="shared" si="20"/>
        <v/>
      </c>
      <c r="GN13" s="84" t="str">
        <f t="shared" si="20"/>
        <v/>
      </c>
      <c r="GO13" s="84" t="str">
        <f t="shared" si="20"/>
        <v/>
      </c>
      <c r="GP13" s="84" t="str">
        <f t="shared" si="20"/>
        <v/>
      </c>
      <c r="GQ13" s="84" t="str">
        <f t="shared" si="20"/>
        <v/>
      </c>
      <c r="GR13" s="84" t="str">
        <f t="shared" si="20"/>
        <v/>
      </c>
      <c r="GS13" s="84" t="str">
        <f t="shared" ref="GS13:JD13" si="21">IF(GS6&lt;&gt;"","H","")</f>
        <v/>
      </c>
      <c r="GT13" s="84" t="str">
        <f t="shared" si="21"/>
        <v/>
      </c>
      <c r="GU13" s="84" t="str">
        <f t="shared" si="21"/>
        <v/>
      </c>
      <c r="GV13" s="84" t="str">
        <f t="shared" si="21"/>
        <v/>
      </c>
      <c r="GW13" s="84" t="str">
        <f t="shared" si="21"/>
        <v/>
      </c>
      <c r="GX13" s="84" t="str">
        <f t="shared" si="21"/>
        <v/>
      </c>
      <c r="GY13" s="84" t="str">
        <f t="shared" si="21"/>
        <v/>
      </c>
      <c r="GZ13" s="84" t="str">
        <f t="shared" si="21"/>
        <v/>
      </c>
      <c r="HA13" s="84" t="str">
        <f t="shared" si="21"/>
        <v/>
      </c>
      <c r="HB13" s="84" t="str">
        <f t="shared" si="21"/>
        <v/>
      </c>
      <c r="HC13" s="84" t="str">
        <f t="shared" si="21"/>
        <v/>
      </c>
      <c r="HD13" s="84" t="str">
        <f t="shared" si="21"/>
        <v/>
      </c>
      <c r="HE13" s="84" t="str">
        <f t="shared" si="21"/>
        <v/>
      </c>
      <c r="HF13" s="84" t="str">
        <f t="shared" si="21"/>
        <v/>
      </c>
      <c r="HG13" s="84" t="str">
        <f t="shared" si="21"/>
        <v/>
      </c>
      <c r="HH13" s="84" t="str">
        <f t="shared" si="21"/>
        <v/>
      </c>
      <c r="HI13" s="84" t="str">
        <f t="shared" si="21"/>
        <v/>
      </c>
      <c r="HJ13" s="84" t="str">
        <f t="shared" si="21"/>
        <v/>
      </c>
      <c r="HK13" s="84" t="str">
        <f t="shared" si="21"/>
        <v/>
      </c>
      <c r="HL13" s="84" t="str">
        <f t="shared" si="21"/>
        <v/>
      </c>
      <c r="HM13" s="84" t="str">
        <f t="shared" si="21"/>
        <v/>
      </c>
      <c r="HN13" s="84" t="str">
        <f t="shared" si="21"/>
        <v/>
      </c>
      <c r="HO13" s="84" t="str">
        <f t="shared" si="21"/>
        <v/>
      </c>
      <c r="HP13" s="84" t="str">
        <f t="shared" si="21"/>
        <v/>
      </c>
      <c r="HQ13" s="84" t="str">
        <f t="shared" si="21"/>
        <v/>
      </c>
      <c r="HR13" s="84" t="str">
        <f t="shared" si="21"/>
        <v/>
      </c>
      <c r="HS13" s="84" t="str">
        <f t="shared" si="21"/>
        <v/>
      </c>
      <c r="HT13" s="84" t="str">
        <f t="shared" si="21"/>
        <v/>
      </c>
      <c r="HU13" s="84" t="str">
        <f t="shared" si="21"/>
        <v/>
      </c>
      <c r="HV13" s="84" t="str">
        <f t="shared" si="21"/>
        <v/>
      </c>
      <c r="HW13" s="84" t="str">
        <f t="shared" si="21"/>
        <v/>
      </c>
      <c r="HX13" s="84" t="str">
        <f t="shared" si="21"/>
        <v/>
      </c>
      <c r="HY13" s="84" t="str">
        <f t="shared" si="21"/>
        <v/>
      </c>
      <c r="HZ13" s="84" t="str">
        <f t="shared" si="21"/>
        <v/>
      </c>
      <c r="IA13" s="84" t="str">
        <f t="shared" si="21"/>
        <v/>
      </c>
      <c r="IB13" s="84" t="str">
        <f t="shared" si="21"/>
        <v/>
      </c>
      <c r="IC13" s="84" t="str">
        <f t="shared" si="21"/>
        <v/>
      </c>
      <c r="ID13" s="84" t="str">
        <f t="shared" si="21"/>
        <v/>
      </c>
      <c r="IE13" s="84" t="str">
        <f t="shared" si="21"/>
        <v/>
      </c>
      <c r="IF13" s="84" t="str">
        <f t="shared" si="21"/>
        <v/>
      </c>
      <c r="IG13" s="84" t="str">
        <f t="shared" si="21"/>
        <v/>
      </c>
      <c r="IH13" s="84" t="str">
        <f t="shared" si="21"/>
        <v/>
      </c>
      <c r="II13" s="84" t="str">
        <f t="shared" si="21"/>
        <v/>
      </c>
      <c r="IJ13" s="84" t="str">
        <f t="shared" si="21"/>
        <v/>
      </c>
      <c r="IK13" s="84" t="str">
        <f t="shared" si="21"/>
        <v/>
      </c>
      <c r="IL13" s="84" t="str">
        <f t="shared" si="21"/>
        <v/>
      </c>
      <c r="IM13" s="84" t="str">
        <f t="shared" si="21"/>
        <v/>
      </c>
      <c r="IN13" s="84" t="str">
        <f t="shared" si="21"/>
        <v/>
      </c>
      <c r="IO13" s="84" t="str">
        <f t="shared" si="21"/>
        <v/>
      </c>
      <c r="IP13" s="84" t="str">
        <f t="shared" si="21"/>
        <v/>
      </c>
      <c r="IQ13" s="84" t="str">
        <f t="shared" si="21"/>
        <v/>
      </c>
      <c r="IR13" s="84" t="str">
        <f t="shared" si="21"/>
        <v/>
      </c>
      <c r="IS13" s="84" t="str">
        <f t="shared" si="21"/>
        <v/>
      </c>
      <c r="IT13" s="84" t="str">
        <f t="shared" si="21"/>
        <v/>
      </c>
      <c r="IU13" s="84" t="str">
        <f t="shared" si="21"/>
        <v/>
      </c>
      <c r="IV13" s="84" t="str">
        <f t="shared" si="21"/>
        <v/>
      </c>
      <c r="IW13" s="84" t="str">
        <f t="shared" si="21"/>
        <v/>
      </c>
      <c r="IX13" s="84" t="str">
        <f t="shared" si="21"/>
        <v/>
      </c>
      <c r="IY13" s="84" t="str">
        <f t="shared" si="21"/>
        <v/>
      </c>
      <c r="IZ13" s="84" t="str">
        <f t="shared" si="21"/>
        <v/>
      </c>
      <c r="JA13" s="84" t="str">
        <f t="shared" si="21"/>
        <v/>
      </c>
      <c r="JB13" s="84" t="str">
        <f t="shared" si="21"/>
        <v/>
      </c>
      <c r="JC13" s="84" t="str">
        <f t="shared" si="21"/>
        <v/>
      </c>
      <c r="JD13" s="84" t="str">
        <f t="shared" si="21"/>
        <v/>
      </c>
      <c r="JE13" s="84" t="str">
        <f t="shared" ref="JE13:LP13" si="22">IF(JE6&lt;&gt;"","H","")</f>
        <v/>
      </c>
      <c r="JF13" s="84" t="str">
        <f t="shared" si="22"/>
        <v/>
      </c>
      <c r="JG13" s="84" t="str">
        <f t="shared" si="22"/>
        <v/>
      </c>
      <c r="JH13" s="84" t="str">
        <f t="shared" si="22"/>
        <v/>
      </c>
      <c r="JI13" s="84" t="str">
        <f t="shared" si="22"/>
        <v/>
      </c>
      <c r="JJ13" s="84" t="str">
        <f t="shared" si="22"/>
        <v/>
      </c>
      <c r="JK13" s="84" t="str">
        <f t="shared" si="22"/>
        <v/>
      </c>
      <c r="JL13" s="84" t="str">
        <f t="shared" si="22"/>
        <v/>
      </c>
      <c r="JM13" s="84" t="str">
        <f t="shared" si="22"/>
        <v/>
      </c>
      <c r="JN13" s="84" t="str">
        <f t="shared" si="22"/>
        <v/>
      </c>
      <c r="JO13" s="84" t="str">
        <f t="shared" si="22"/>
        <v/>
      </c>
      <c r="JP13" s="84" t="str">
        <f t="shared" si="22"/>
        <v/>
      </c>
      <c r="JQ13" s="84" t="str">
        <f t="shared" si="22"/>
        <v/>
      </c>
      <c r="JR13" s="84" t="str">
        <f t="shared" si="22"/>
        <v/>
      </c>
      <c r="JS13" s="84" t="str">
        <f t="shared" si="22"/>
        <v/>
      </c>
      <c r="JT13" s="84" t="str">
        <f t="shared" si="22"/>
        <v/>
      </c>
      <c r="JU13" s="84" t="str">
        <f t="shared" si="22"/>
        <v/>
      </c>
      <c r="JV13" s="84" t="str">
        <f t="shared" si="22"/>
        <v/>
      </c>
      <c r="JW13" s="84" t="str">
        <f t="shared" si="22"/>
        <v/>
      </c>
      <c r="JX13" s="84" t="str">
        <f t="shared" si="22"/>
        <v/>
      </c>
      <c r="JY13" s="84" t="str">
        <f t="shared" si="22"/>
        <v/>
      </c>
      <c r="JZ13" s="84" t="str">
        <f t="shared" si="22"/>
        <v/>
      </c>
      <c r="KA13" s="84" t="str">
        <f t="shared" si="22"/>
        <v/>
      </c>
      <c r="KB13" s="84" t="str">
        <f t="shared" si="22"/>
        <v/>
      </c>
      <c r="KC13" s="84" t="str">
        <f t="shared" si="22"/>
        <v/>
      </c>
      <c r="KD13" s="84" t="str">
        <f t="shared" si="22"/>
        <v/>
      </c>
      <c r="KE13" s="84" t="str">
        <f t="shared" si="22"/>
        <v/>
      </c>
      <c r="KF13" s="84" t="str">
        <f t="shared" si="22"/>
        <v/>
      </c>
      <c r="KG13" s="84" t="str">
        <f t="shared" si="22"/>
        <v/>
      </c>
      <c r="KH13" s="84" t="str">
        <f t="shared" si="22"/>
        <v/>
      </c>
      <c r="KI13" s="84" t="str">
        <f t="shared" si="22"/>
        <v/>
      </c>
      <c r="KJ13" s="84" t="str">
        <f t="shared" si="22"/>
        <v/>
      </c>
      <c r="KK13" s="84" t="str">
        <f t="shared" si="22"/>
        <v/>
      </c>
      <c r="KL13" s="84" t="str">
        <f t="shared" si="22"/>
        <v/>
      </c>
      <c r="KM13" s="84" t="str">
        <f t="shared" si="22"/>
        <v/>
      </c>
      <c r="KN13" s="84" t="str">
        <f t="shared" si="22"/>
        <v/>
      </c>
      <c r="KO13" s="84" t="str">
        <f t="shared" si="22"/>
        <v/>
      </c>
      <c r="KP13" s="84" t="str">
        <f t="shared" si="22"/>
        <v/>
      </c>
      <c r="KQ13" s="84" t="str">
        <f t="shared" si="22"/>
        <v/>
      </c>
      <c r="KR13" s="84" t="str">
        <f t="shared" si="22"/>
        <v/>
      </c>
      <c r="KS13" s="84" t="str">
        <f t="shared" si="22"/>
        <v/>
      </c>
      <c r="KT13" s="84" t="str">
        <f t="shared" si="22"/>
        <v/>
      </c>
      <c r="KU13" s="84" t="str">
        <f t="shared" si="22"/>
        <v/>
      </c>
      <c r="KV13" s="84" t="str">
        <f t="shared" si="22"/>
        <v/>
      </c>
      <c r="KW13" s="84" t="str">
        <f t="shared" si="22"/>
        <v/>
      </c>
      <c r="KX13" s="84" t="str">
        <f t="shared" si="22"/>
        <v/>
      </c>
      <c r="KY13" s="84" t="str">
        <f t="shared" si="22"/>
        <v/>
      </c>
      <c r="KZ13" s="84" t="str">
        <f t="shared" si="22"/>
        <v/>
      </c>
      <c r="LA13" s="84" t="str">
        <f t="shared" si="22"/>
        <v/>
      </c>
      <c r="LB13" s="84" t="str">
        <f t="shared" si="22"/>
        <v/>
      </c>
      <c r="LC13" s="84" t="str">
        <f t="shared" si="22"/>
        <v/>
      </c>
      <c r="LD13" s="84" t="str">
        <f t="shared" si="22"/>
        <v/>
      </c>
      <c r="LE13" s="84" t="str">
        <f t="shared" si="22"/>
        <v/>
      </c>
      <c r="LF13" s="84" t="str">
        <f t="shared" si="22"/>
        <v/>
      </c>
      <c r="LG13" s="84" t="str">
        <f t="shared" si="22"/>
        <v/>
      </c>
      <c r="LH13" s="84" t="str">
        <f t="shared" si="22"/>
        <v/>
      </c>
      <c r="LI13" s="84" t="str">
        <f t="shared" si="22"/>
        <v/>
      </c>
      <c r="LJ13" s="84" t="str">
        <f t="shared" si="22"/>
        <v/>
      </c>
      <c r="LK13" s="84" t="str">
        <f t="shared" si="22"/>
        <v/>
      </c>
      <c r="LL13" s="84" t="str">
        <f t="shared" si="22"/>
        <v/>
      </c>
      <c r="LM13" s="84" t="str">
        <f t="shared" si="22"/>
        <v/>
      </c>
      <c r="LN13" s="84" t="str">
        <f t="shared" si="22"/>
        <v/>
      </c>
      <c r="LO13" s="84" t="str">
        <f t="shared" si="22"/>
        <v/>
      </c>
      <c r="LP13" s="84" t="str">
        <f t="shared" si="22"/>
        <v/>
      </c>
      <c r="LQ13" s="84" t="str">
        <f t="shared" ref="LQ13:OB13" si="23">IF(LQ6&lt;&gt;"","H","")</f>
        <v/>
      </c>
      <c r="LR13" s="84" t="str">
        <f t="shared" si="23"/>
        <v/>
      </c>
      <c r="LS13" s="84" t="str">
        <f t="shared" si="23"/>
        <v/>
      </c>
      <c r="LT13" s="84" t="str">
        <f t="shared" si="23"/>
        <v/>
      </c>
      <c r="LU13" s="84" t="str">
        <f t="shared" si="23"/>
        <v/>
      </c>
      <c r="LV13" s="84" t="str">
        <f t="shared" si="23"/>
        <v/>
      </c>
      <c r="LW13" s="84" t="str">
        <f t="shared" si="23"/>
        <v/>
      </c>
      <c r="LX13" s="84" t="str">
        <f t="shared" si="23"/>
        <v/>
      </c>
      <c r="LY13" s="84" t="str">
        <f t="shared" si="23"/>
        <v/>
      </c>
      <c r="LZ13" s="84" t="str">
        <f t="shared" si="23"/>
        <v/>
      </c>
      <c r="MA13" s="84" t="str">
        <f t="shared" si="23"/>
        <v/>
      </c>
      <c r="MB13" s="84" t="str">
        <f t="shared" si="23"/>
        <v/>
      </c>
      <c r="MC13" s="84" t="str">
        <f t="shared" si="23"/>
        <v/>
      </c>
      <c r="MD13" s="84" t="str">
        <f t="shared" si="23"/>
        <v/>
      </c>
      <c r="ME13" s="84" t="str">
        <f t="shared" si="23"/>
        <v/>
      </c>
      <c r="MF13" s="84" t="str">
        <f t="shared" si="23"/>
        <v/>
      </c>
      <c r="MG13" s="84" t="str">
        <f t="shared" si="23"/>
        <v/>
      </c>
      <c r="MH13" s="84" t="str">
        <f t="shared" si="23"/>
        <v/>
      </c>
      <c r="MI13" s="84" t="str">
        <f t="shared" si="23"/>
        <v/>
      </c>
      <c r="MJ13" s="84" t="str">
        <f t="shared" si="23"/>
        <v/>
      </c>
      <c r="MK13" s="84" t="str">
        <f t="shared" si="23"/>
        <v/>
      </c>
      <c r="ML13" s="84" t="str">
        <f t="shared" si="23"/>
        <v/>
      </c>
      <c r="MM13" s="84" t="str">
        <f t="shared" si="23"/>
        <v/>
      </c>
      <c r="MN13" s="84" t="str">
        <f t="shared" si="23"/>
        <v/>
      </c>
      <c r="MO13" s="84" t="str">
        <f t="shared" si="23"/>
        <v/>
      </c>
      <c r="MP13" s="84" t="str">
        <f t="shared" si="23"/>
        <v/>
      </c>
      <c r="MQ13" s="84" t="str">
        <f t="shared" si="23"/>
        <v/>
      </c>
      <c r="MR13" s="84" t="str">
        <f t="shared" si="23"/>
        <v/>
      </c>
      <c r="MS13" s="84" t="str">
        <f t="shared" si="23"/>
        <v/>
      </c>
      <c r="MT13" s="84" t="str">
        <f t="shared" si="23"/>
        <v/>
      </c>
      <c r="MU13" s="84" t="str">
        <f t="shared" si="23"/>
        <v/>
      </c>
      <c r="MV13" s="84" t="str">
        <f t="shared" si="23"/>
        <v/>
      </c>
      <c r="MW13" s="84" t="str">
        <f t="shared" si="23"/>
        <v/>
      </c>
      <c r="MX13" s="84" t="str">
        <f t="shared" si="23"/>
        <v/>
      </c>
      <c r="MY13" s="84" t="str">
        <f t="shared" si="23"/>
        <v/>
      </c>
      <c r="MZ13" s="84" t="str">
        <f t="shared" si="23"/>
        <v/>
      </c>
      <c r="NA13" s="84" t="str">
        <f t="shared" si="23"/>
        <v/>
      </c>
      <c r="NB13" s="84" t="str">
        <f t="shared" si="23"/>
        <v/>
      </c>
      <c r="NC13" s="84" t="str">
        <f t="shared" si="23"/>
        <v/>
      </c>
      <c r="ND13" s="84" t="str">
        <f t="shared" si="23"/>
        <v/>
      </c>
      <c r="NE13" s="84" t="str">
        <f t="shared" si="23"/>
        <v/>
      </c>
      <c r="NF13" s="84" t="str">
        <f t="shared" si="23"/>
        <v/>
      </c>
      <c r="NG13" s="84" t="str">
        <f t="shared" si="23"/>
        <v/>
      </c>
      <c r="NH13" s="84" t="str">
        <f t="shared" si="23"/>
        <v/>
      </c>
      <c r="NI13" s="84" t="str">
        <f t="shared" si="23"/>
        <v/>
      </c>
      <c r="NJ13" s="84" t="str">
        <f t="shared" si="23"/>
        <v/>
      </c>
      <c r="NK13" s="84" t="str">
        <f t="shared" si="23"/>
        <v/>
      </c>
      <c r="NL13" s="84" t="str">
        <f t="shared" si="23"/>
        <v/>
      </c>
      <c r="NM13" s="84" t="str">
        <f t="shared" si="23"/>
        <v/>
      </c>
      <c r="NN13" s="84" t="str">
        <f t="shared" si="23"/>
        <v/>
      </c>
      <c r="NO13" s="84" t="str">
        <f t="shared" si="23"/>
        <v/>
      </c>
      <c r="NP13" s="84" t="str">
        <f t="shared" si="23"/>
        <v/>
      </c>
      <c r="NQ13" s="84" t="str">
        <f t="shared" si="23"/>
        <v/>
      </c>
      <c r="NR13" s="84" t="str">
        <f t="shared" si="23"/>
        <v/>
      </c>
      <c r="NS13" s="84" t="str">
        <f t="shared" si="23"/>
        <v/>
      </c>
      <c r="NT13" s="84" t="str">
        <f t="shared" si="23"/>
        <v/>
      </c>
      <c r="NU13" s="84" t="str">
        <f t="shared" si="23"/>
        <v/>
      </c>
      <c r="NV13" s="84" t="str">
        <f t="shared" si="23"/>
        <v/>
      </c>
      <c r="NW13" s="84" t="str">
        <f t="shared" si="23"/>
        <v/>
      </c>
      <c r="NX13" s="84" t="str">
        <f t="shared" si="23"/>
        <v/>
      </c>
      <c r="NY13" s="84" t="str">
        <f t="shared" si="23"/>
        <v/>
      </c>
      <c r="NZ13" s="84" t="str">
        <f t="shared" si="23"/>
        <v/>
      </c>
      <c r="OA13" s="84" t="str">
        <f t="shared" si="23"/>
        <v/>
      </c>
      <c r="OB13" s="84" t="str">
        <f t="shared" si="23"/>
        <v/>
      </c>
      <c r="OC13" s="84" t="str">
        <f t="shared" ref="OC13:QN13" si="24">IF(OC6&lt;&gt;"","H","")</f>
        <v/>
      </c>
      <c r="OD13" s="84" t="str">
        <f t="shared" si="24"/>
        <v/>
      </c>
      <c r="OE13" s="84" t="str">
        <f t="shared" si="24"/>
        <v/>
      </c>
      <c r="OF13" s="84" t="str">
        <f t="shared" si="24"/>
        <v/>
      </c>
      <c r="OG13" s="84" t="str">
        <f t="shared" si="24"/>
        <v/>
      </c>
      <c r="OH13" s="84" t="str">
        <f t="shared" si="24"/>
        <v/>
      </c>
      <c r="OI13" s="84" t="str">
        <f t="shared" si="24"/>
        <v/>
      </c>
      <c r="OJ13" s="84" t="str">
        <f t="shared" si="24"/>
        <v/>
      </c>
      <c r="OK13" s="84" t="str">
        <f t="shared" si="24"/>
        <v/>
      </c>
      <c r="OL13" s="84" t="str">
        <f t="shared" si="24"/>
        <v/>
      </c>
      <c r="OM13" s="84" t="str">
        <f t="shared" si="24"/>
        <v/>
      </c>
      <c r="ON13" s="84" t="str">
        <f t="shared" si="24"/>
        <v/>
      </c>
      <c r="OO13" s="84" t="str">
        <f t="shared" si="24"/>
        <v/>
      </c>
      <c r="OP13" s="84" t="str">
        <f t="shared" si="24"/>
        <v/>
      </c>
      <c r="OQ13" s="84" t="str">
        <f t="shared" si="24"/>
        <v/>
      </c>
      <c r="OR13" s="84" t="str">
        <f t="shared" si="24"/>
        <v/>
      </c>
      <c r="OS13" s="84" t="str">
        <f t="shared" si="24"/>
        <v/>
      </c>
      <c r="OT13" s="84" t="str">
        <f t="shared" si="24"/>
        <v/>
      </c>
      <c r="OU13" s="84" t="str">
        <f t="shared" si="24"/>
        <v/>
      </c>
      <c r="OV13" s="84" t="str">
        <f t="shared" si="24"/>
        <v/>
      </c>
      <c r="OW13" s="84" t="str">
        <f t="shared" si="24"/>
        <v/>
      </c>
      <c r="OX13" s="84" t="str">
        <f t="shared" si="24"/>
        <v/>
      </c>
      <c r="OY13" s="84" t="str">
        <f t="shared" si="24"/>
        <v/>
      </c>
      <c r="OZ13" s="84" t="str">
        <f t="shared" si="24"/>
        <v/>
      </c>
      <c r="PA13" s="84" t="str">
        <f t="shared" si="24"/>
        <v/>
      </c>
      <c r="PB13" s="84" t="str">
        <f t="shared" si="24"/>
        <v/>
      </c>
      <c r="PC13" s="84" t="str">
        <f t="shared" si="24"/>
        <v/>
      </c>
      <c r="PD13" s="84" t="str">
        <f t="shared" si="24"/>
        <v/>
      </c>
      <c r="PE13" s="84" t="str">
        <f t="shared" si="24"/>
        <v/>
      </c>
      <c r="PF13" s="84" t="str">
        <f t="shared" si="24"/>
        <v/>
      </c>
      <c r="PG13" s="84" t="str">
        <f t="shared" si="24"/>
        <v/>
      </c>
      <c r="PH13" s="84" t="str">
        <f t="shared" si="24"/>
        <v/>
      </c>
      <c r="PI13" s="84" t="str">
        <f t="shared" si="24"/>
        <v/>
      </c>
      <c r="PJ13" s="84" t="str">
        <f t="shared" si="24"/>
        <v/>
      </c>
      <c r="PK13" s="84" t="str">
        <f t="shared" si="24"/>
        <v/>
      </c>
      <c r="PL13" s="84" t="str">
        <f t="shared" si="24"/>
        <v/>
      </c>
      <c r="PM13" s="84" t="str">
        <f t="shared" si="24"/>
        <v/>
      </c>
      <c r="PN13" s="84" t="str">
        <f t="shared" si="24"/>
        <v/>
      </c>
      <c r="PO13" s="84" t="str">
        <f t="shared" si="24"/>
        <v/>
      </c>
      <c r="PP13" s="84" t="str">
        <f t="shared" si="24"/>
        <v/>
      </c>
      <c r="PQ13" s="84" t="str">
        <f t="shared" si="24"/>
        <v/>
      </c>
      <c r="PR13" s="84" t="str">
        <f t="shared" si="24"/>
        <v/>
      </c>
      <c r="PS13" s="84" t="str">
        <f t="shared" si="24"/>
        <v/>
      </c>
      <c r="PT13" s="84" t="str">
        <f t="shared" si="24"/>
        <v/>
      </c>
      <c r="PU13" s="84" t="str">
        <f t="shared" si="24"/>
        <v/>
      </c>
      <c r="PV13" s="84" t="str">
        <f t="shared" si="24"/>
        <v/>
      </c>
      <c r="PW13" s="84" t="str">
        <f t="shared" si="24"/>
        <v/>
      </c>
      <c r="PX13" s="84" t="str">
        <f t="shared" si="24"/>
        <v/>
      </c>
      <c r="PY13" s="84" t="str">
        <f t="shared" si="24"/>
        <v/>
      </c>
      <c r="PZ13" s="84" t="str">
        <f t="shared" si="24"/>
        <v/>
      </c>
      <c r="QA13" s="84" t="str">
        <f t="shared" si="24"/>
        <v/>
      </c>
      <c r="QB13" s="84" t="str">
        <f t="shared" si="24"/>
        <v/>
      </c>
      <c r="QC13" s="84" t="str">
        <f t="shared" si="24"/>
        <v/>
      </c>
      <c r="QD13" s="84" t="str">
        <f t="shared" si="24"/>
        <v/>
      </c>
      <c r="QE13" s="84" t="str">
        <f t="shared" si="24"/>
        <v/>
      </c>
      <c r="QF13" s="84" t="str">
        <f t="shared" si="24"/>
        <v/>
      </c>
      <c r="QG13" s="84" t="str">
        <f t="shared" si="24"/>
        <v/>
      </c>
      <c r="QH13" s="84" t="str">
        <f t="shared" si="24"/>
        <v/>
      </c>
      <c r="QI13" s="84" t="str">
        <f t="shared" si="24"/>
        <v/>
      </c>
      <c r="QJ13" s="84" t="str">
        <f t="shared" si="24"/>
        <v/>
      </c>
      <c r="QK13" s="84" t="str">
        <f t="shared" si="24"/>
        <v/>
      </c>
      <c r="QL13" s="84" t="str">
        <f t="shared" si="24"/>
        <v/>
      </c>
      <c r="QM13" s="84" t="str">
        <f t="shared" si="24"/>
        <v/>
      </c>
      <c r="QN13" s="84" t="str">
        <f t="shared" si="24"/>
        <v/>
      </c>
      <c r="QO13" s="84" t="str">
        <f t="shared" ref="QO13:SN13" si="25">IF(QO6&lt;&gt;"","H","")</f>
        <v/>
      </c>
      <c r="QP13" s="84" t="str">
        <f t="shared" si="25"/>
        <v/>
      </c>
      <c r="QQ13" s="84" t="str">
        <f t="shared" si="25"/>
        <v/>
      </c>
      <c r="QR13" s="84" t="str">
        <f t="shared" si="25"/>
        <v/>
      </c>
      <c r="QS13" s="84" t="str">
        <f t="shared" si="25"/>
        <v/>
      </c>
      <c r="QT13" s="84" t="str">
        <f t="shared" si="25"/>
        <v/>
      </c>
      <c r="QU13" s="84" t="str">
        <f t="shared" si="25"/>
        <v/>
      </c>
      <c r="QV13" s="84" t="str">
        <f t="shared" si="25"/>
        <v/>
      </c>
      <c r="QW13" s="84" t="str">
        <f t="shared" si="25"/>
        <v/>
      </c>
      <c r="QX13" s="84" t="str">
        <f t="shared" si="25"/>
        <v/>
      </c>
      <c r="QY13" s="84" t="str">
        <f t="shared" si="25"/>
        <v/>
      </c>
      <c r="QZ13" s="84" t="str">
        <f t="shared" si="25"/>
        <v/>
      </c>
      <c r="RA13" s="84" t="str">
        <f t="shared" si="25"/>
        <v/>
      </c>
      <c r="RB13" s="84" t="str">
        <f t="shared" si="25"/>
        <v/>
      </c>
      <c r="RC13" s="84" t="str">
        <f t="shared" si="25"/>
        <v/>
      </c>
      <c r="RD13" s="84" t="str">
        <f t="shared" si="25"/>
        <v/>
      </c>
      <c r="RE13" s="84" t="str">
        <f t="shared" si="25"/>
        <v/>
      </c>
      <c r="RF13" s="84" t="str">
        <f t="shared" si="25"/>
        <v/>
      </c>
      <c r="RG13" s="84" t="str">
        <f t="shared" si="25"/>
        <v/>
      </c>
      <c r="RH13" s="84" t="str">
        <f t="shared" si="25"/>
        <v/>
      </c>
      <c r="RI13" s="84" t="str">
        <f t="shared" si="25"/>
        <v/>
      </c>
      <c r="RJ13" s="84" t="str">
        <f t="shared" si="25"/>
        <v/>
      </c>
      <c r="RK13" s="84" t="str">
        <f t="shared" si="25"/>
        <v/>
      </c>
      <c r="RL13" s="84" t="str">
        <f t="shared" si="25"/>
        <v/>
      </c>
      <c r="RM13" s="84" t="str">
        <f t="shared" si="25"/>
        <v/>
      </c>
      <c r="RN13" s="84" t="str">
        <f t="shared" si="25"/>
        <v/>
      </c>
      <c r="RO13" s="84" t="str">
        <f t="shared" si="25"/>
        <v/>
      </c>
      <c r="RP13" s="84" t="str">
        <f t="shared" si="25"/>
        <v/>
      </c>
      <c r="RQ13" s="84" t="str">
        <f t="shared" si="25"/>
        <v/>
      </c>
      <c r="RR13" s="84" t="str">
        <f t="shared" si="25"/>
        <v/>
      </c>
      <c r="RS13" s="84" t="str">
        <f t="shared" si="25"/>
        <v/>
      </c>
      <c r="RT13" s="84" t="str">
        <f t="shared" si="25"/>
        <v/>
      </c>
      <c r="RU13" s="84" t="str">
        <f t="shared" si="25"/>
        <v/>
      </c>
      <c r="RV13" s="84" t="str">
        <f t="shared" si="25"/>
        <v/>
      </c>
      <c r="RW13" s="84" t="str">
        <f t="shared" si="25"/>
        <v/>
      </c>
      <c r="RX13" s="84" t="str">
        <f t="shared" si="25"/>
        <v/>
      </c>
      <c r="RY13" s="84" t="str">
        <f t="shared" si="25"/>
        <v/>
      </c>
      <c r="RZ13" s="84" t="str">
        <f t="shared" si="25"/>
        <v/>
      </c>
      <c r="SA13" s="84" t="str">
        <f t="shared" si="25"/>
        <v/>
      </c>
      <c r="SB13" s="84" t="str">
        <f t="shared" si="25"/>
        <v/>
      </c>
      <c r="SC13" s="84" t="str">
        <f t="shared" si="25"/>
        <v/>
      </c>
      <c r="SD13" s="84" t="str">
        <f t="shared" si="25"/>
        <v/>
      </c>
      <c r="SE13" s="84" t="str">
        <f t="shared" si="25"/>
        <v/>
      </c>
      <c r="SF13" s="84" t="str">
        <f t="shared" si="25"/>
        <v/>
      </c>
      <c r="SG13" s="84" t="str">
        <f t="shared" si="25"/>
        <v/>
      </c>
      <c r="SH13" s="84" t="str">
        <f t="shared" si="25"/>
        <v/>
      </c>
      <c r="SI13" s="84" t="str">
        <f t="shared" si="25"/>
        <v/>
      </c>
      <c r="SJ13" s="84" t="str">
        <f t="shared" si="25"/>
        <v/>
      </c>
      <c r="SK13" s="84" t="str">
        <f t="shared" si="25"/>
        <v/>
      </c>
      <c r="SL13" s="84" t="str">
        <f t="shared" si="25"/>
        <v/>
      </c>
      <c r="SM13" s="84" t="str">
        <f t="shared" si="25"/>
        <v/>
      </c>
      <c r="SN13" s="84" t="str">
        <f t="shared" si="25"/>
        <v/>
      </c>
    </row>
    <row r="14" spans="2:508">
      <c r="B14" s="141" t="str">
        <f t="shared" si="8"/>
        <v>LC</v>
      </c>
      <c r="C14" s="141" t="str">
        <f t="shared" si="8"/>
        <v>Prac 1</v>
      </c>
      <c r="D14" s="157" t="str">
        <f t="shared" si="8"/>
        <v>14x7</v>
      </c>
      <c r="E14" s="162" t="str">
        <f t="shared" si="8"/>
        <v/>
      </c>
      <c r="F14" s="163" t="str">
        <f t="shared" si="8"/>
        <v/>
      </c>
      <c r="G14" s="84" t="str">
        <f t="shared" si="9"/>
        <v/>
      </c>
      <c r="H14" s="84" t="str">
        <f t="shared" si="9"/>
        <v/>
      </c>
      <c r="I14" s="84" t="str">
        <f t="shared" ref="I14:BT14" si="26">IF(I7&lt;&gt;"","H","")</f>
        <v/>
      </c>
      <c r="J14" s="84" t="str">
        <f t="shared" si="26"/>
        <v/>
      </c>
      <c r="K14" s="84" t="str">
        <f t="shared" si="26"/>
        <v/>
      </c>
      <c r="L14" s="84" t="str">
        <f t="shared" si="26"/>
        <v/>
      </c>
      <c r="M14" s="84" t="str">
        <f t="shared" si="26"/>
        <v/>
      </c>
      <c r="N14" s="84" t="str">
        <f t="shared" si="26"/>
        <v/>
      </c>
      <c r="O14" s="84" t="str">
        <f t="shared" si="26"/>
        <v/>
      </c>
      <c r="P14" s="84" t="str">
        <f t="shared" si="26"/>
        <v/>
      </c>
      <c r="Q14" s="84" t="str">
        <f t="shared" si="26"/>
        <v/>
      </c>
      <c r="R14" s="84" t="str">
        <f t="shared" si="26"/>
        <v/>
      </c>
      <c r="S14" s="84" t="str">
        <f t="shared" si="26"/>
        <v/>
      </c>
      <c r="T14" s="84" t="str">
        <f t="shared" si="26"/>
        <v/>
      </c>
      <c r="U14" s="84" t="str">
        <f t="shared" si="26"/>
        <v/>
      </c>
      <c r="V14" s="84" t="str">
        <f t="shared" si="26"/>
        <v/>
      </c>
      <c r="W14" s="84" t="str">
        <f t="shared" si="26"/>
        <v/>
      </c>
      <c r="X14" s="84" t="str">
        <f t="shared" si="26"/>
        <v/>
      </c>
      <c r="Y14" s="84" t="str">
        <f t="shared" si="26"/>
        <v/>
      </c>
      <c r="Z14" s="84" t="str">
        <f t="shared" si="26"/>
        <v/>
      </c>
      <c r="AA14" s="84" t="str">
        <f t="shared" si="26"/>
        <v/>
      </c>
      <c r="AB14" s="84" t="str">
        <f t="shared" si="26"/>
        <v/>
      </c>
      <c r="AC14" s="84" t="str">
        <f t="shared" si="26"/>
        <v/>
      </c>
      <c r="AD14" s="84" t="str">
        <f t="shared" si="26"/>
        <v/>
      </c>
      <c r="AE14" s="84" t="str">
        <f t="shared" si="26"/>
        <v/>
      </c>
      <c r="AF14" s="84" t="str">
        <f t="shared" si="26"/>
        <v/>
      </c>
      <c r="AG14" s="84" t="str">
        <f t="shared" si="26"/>
        <v/>
      </c>
      <c r="AH14" s="84" t="str">
        <f t="shared" si="26"/>
        <v/>
      </c>
      <c r="AI14" s="84" t="str">
        <f t="shared" si="26"/>
        <v/>
      </c>
      <c r="AJ14" s="84" t="str">
        <f t="shared" si="26"/>
        <v/>
      </c>
      <c r="AK14" s="84" t="str">
        <f t="shared" si="26"/>
        <v/>
      </c>
      <c r="AL14" s="84" t="str">
        <f t="shared" si="26"/>
        <v/>
      </c>
      <c r="AM14" s="84" t="str">
        <f t="shared" si="26"/>
        <v/>
      </c>
      <c r="AN14" s="84" t="str">
        <f t="shared" si="26"/>
        <v/>
      </c>
      <c r="AO14" s="84" t="str">
        <f t="shared" si="26"/>
        <v/>
      </c>
      <c r="AP14" s="84" t="str">
        <f t="shared" si="26"/>
        <v/>
      </c>
      <c r="AQ14" s="84" t="str">
        <f t="shared" si="26"/>
        <v/>
      </c>
      <c r="AR14" s="84" t="str">
        <f t="shared" si="26"/>
        <v/>
      </c>
      <c r="AS14" s="84" t="str">
        <f t="shared" si="26"/>
        <v/>
      </c>
      <c r="AT14" s="84" t="str">
        <f t="shared" si="26"/>
        <v/>
      </c>
      <c r="AU14" s="84" t="str">
        <f t="shared" si="26"/>
        <v/>
      </c>
      <c r="AV14" s="84" t="str">
        <f t="shared" si="26"/>
        <v/>
      </c>
      <c r="AW14" s="84" t="str">
        <f t="shared" si="26"/>
        <v/>
      </c>
      <c r="AX14" s="84" t="str">
        <f t="shared" si="26"/>
        <v/>
      </c>
      <c r="AY14" s="84" t="str">
        <f t="shared" si="26"/>
        <v/>
      </c>
      <c r="AZ14" s="84" t="str">
        <f t="shared" si="26"/>
        <v/>
      </c>
      <c r="BA14" s="84" t="str">
        <f t="shared" si="26"/>
        <v/>
      </c>
      <c r="BB14" s="84" t="str">
        <f t="shared" si="26"/>
        <v/>
      </c>
      <c r="BC14" s="84" t="str">
        <f t="shared" si="26"/>
        <v/>
      </c>
      <c r="BD14" s="84" t="str">
        <f t="shared" si="26"/>
        <v/>
      </c>
      <c r="BE14" s="84" t="str">
        <f t="shared" si="26"/>
        <v/>
      </c>
      <c r="BF14" s="84" t="str">
        <f t="shared" si="26"/>
        <v/>
      </c>
      <c r="BG14" s="84" t="str">
        <f t="shared" si="26"/>
        <v/>
      </c>
      <c r="BH14" s="84" t="str">
        <f t="shared" si="26"/>
        <v/>
      </c>
      <c r="BI14" s="84" t="str">
        <f t="shared" si="26"/>
        <v/>
      </c>
      <c r="BJ14" s="84" t="str">
        <f t="shared" si="26"/>
        <v/>
      </c>
      <c r="BK14" s="84" t="str">
        <f t="shared" si="26"/>
        <v/>
      </c>
      <c r="BL14" s="84" t="str">
        <f t="shared" si="26"/>
        <v/>
      </c>
      <c r="BM14" s="84" t="str">
        <f t="shared" si="26"/>
        <v/>
      </c>
      <c r="BN14" s="84" t="str">
        <f t="shared" si="26"/>
        <v/>
      </c>
      <c r="BO14" s="84" t="str">
        <f t="shared" si="26"/>
        <v/>
      </c>
      <c r="BP14" s="84" t="str">
        <f t="shared" si="26"/>
        <v/>
      </c>
      <c r="BQ14" s="84" t="str">
        <f t="shared" si="26"/>
        <v/>
      </c>
      <c r="BR14" s="84" t="str">
        <f t="shared" si="26"/>
        <v/>
      </c>
      <c r="BS14" s="84" t="str">
        <f t="shared" si="26"/>
        <v/>
      </c>
      <c r="BT14" s="84" t="str">
        <f t="shared" si="26"/>
        <v/>
      </c>
      <c r="BU14" s="84" t="str">
        <f t="shared" ref="BU14:EF14" si="27">IF(BU7&lt;&gt;"","H","")</f>
        <v/>
      </c>
      <c r="BV14" s="84" t="str">
        <f t="shared" si="27"/>
        <v/>
      </c>
      <c r="BW14" s="84" t="str">
        <f t="shared" si="27"/>
        <v/>
      </c>
      <c r="BX14" s="84" t="str">
        <f t="shared" si="27"/>
        <v/>
      </c>
      <c r="BY14" s="84" t="str">
        <f t="shared" si="27"/>
        <v/>
      </c>
      <c r="BZ14" s="84" t="str">
        <f t="shared" si="27"/>
        <v/>
      </c>
      <c r="CA14" s="84" t="str">
        <f t="shared" si="27"/>
        <v/>
      </c>
      <c r="CB14" s="84" t="str">
        <f t="shared" si="27"/>
        <v/>
      </c>
      <c r="CC14" s="84" t="str">
        <f t="shared" si="27"/>
        <v/>
      </c>
      <c r="CD14" s="84" t="str">
        <f t="shared" si="27"/>
        <v/>
      </c>
      <c r="CE14" s="84" t="str">
        <f t="shared" si="27"/>
        <v/>
      </c>
      <c r="CF14" s="84" t="str">
        <f t="shared" si="27"/>
        <v/>
      </c>
      <c r="CG14" s="84" t="str">
        <f t="shared" si="27"/>
        <v/>
      </c>
      <c r="CH14" s="84" t="str">
        <f t="shared" si="27"/>
        <v/>
      </c>
      <c r="CI14" s="84" t="str">
        <f t="shared" si="27"/>
        <v/>
      </c>
      <c r="CJ14" s="84" t="str">
        <f t="shared" si="27"/>
        <v/>
      </c>
      <c r="CK14" s="84" t="str">
        <f t="shared" si="27"/>
        <v/>
      </c>
      <c r="CL14" s="84" t="str">
        <f t="shared" si="27"/>
        <v/>
      </c>
      <c r="CM14" s="84" t="str">
        <f t="shared" si="27"/>
        <v/>
      </c>
      <c r="CN14" s="84" t="str">
        <f t="shared" si="27"/>
        <v/>
      </c>
      <c r="CO14" s="84" t="str">
        <f t="shared" si="27"/>
        <v/>
      </c>
      <c r="CP14" s="84" t="str">
        <f t="shared" si="27"/>
        <v/>
      </c>
      <c r="CQ14" s="84" t="str">
        <f t="shared" si="27"/>
        <v/>
      </c>
      <c r="CR14" s="84" t="str">
        <f t="shared" si="27"/>
        <v/>
      </c>
      <c r="CS14" s="84" t="str">
        <f t="shared" si="27"/>
        <v/>
      </c>
      <c r="CT14" s="84" t="str">
        <f t="shared" si="27"/>
        <v/>
      </c>
      <c r="CU14" s="84" t="str">
        <f t="shared" si="27"/>
        <v/>
      </c>
      <c r="CV14" s="84" t="str">
        <f t="shared" si="27"/>
        <v/>
      </c>
      <c r="CW14" s="84" t="str">
        <f t="shared" si="27"/>
        <v/>
      </c>
      <c r="CX14" s="84" t="str">
        <f t="shared" si="27"/>
        <v/>
      </c>
      <c r="CY14" s="84" t="str">
        <f t="shared" si="27"/>
        <v/>
      </c>
      <c r="CZ14" s="84" t="str">
        <f t="shared" si="27"/>
        <v/>
      </c>
      <c r="DA14" s="84" t="str">
        <f t="shared" si="27"/>
        <v/>
      </c>
      <c r="DB14" s="84" t="str">
        <f t="shared" si="27"/>
        <v/>
      </c>
      <c r="DC14" s="84" t="str">
        <f t="shared" si="27"/>
        <v/>
      </c>
      <c r="DD14" s="84" t="str">
        <f t="shared" si="27"/>
        <v/>
      </c>
      <c r="DE14" s="84" t="str">
        <f t="shared" si="27"/>
        <v/>
      </c>
      <c r="DF14" s="84" t="str">
        <f t="shared" si="27"/>
        <v/>
      </c>
      <c r="DG14" s="84" t="str">
        <f t="shared" si="27"/>
        <v/>
      </c>
      <c r="DH14" s="84" t="str">
        <f t="shared" si="27"/>
        <v/>
      </c>
      <c r="DI14" s="84" t="str">
        <f t="shared" si="27"/>
        <v/>
      </c>
      <c r="DJ14" s="84" t="str">
        <f t="shared" si="27"/>
        <v/>
      </c>
      <c r="DK14" s="84" t="str">
        <f t="shared" si="27"/>
        <v/>
      </c>
      <c r="DL14" s="84" t="str">
        <f t="shared" si="27"/>
        <v/>
      </c>
      <c r="DM14" s="84" t="str">
        <f t="shared" si="27"/>
        <v/>
      </c>
      <c r="DN14" s="84" t="str">
        <f t="shared" si="27"/>
        <v/>
      </c>
      <c r="DO14" s="84" t="str">
        <f t="shared" si="27"/>
        <v/>
      </c>
      <c r="DP14" s="84" t="str">
        <f t="shared" si="27"/>
        <v/>
      </c>
      <c r="DQ14" s="84" t="str">
        <f t="shared" si="27"/>
        <v/>
      </c>
      <c r="DR14" s="84" t="str">
        <f t="shared" si="27"/>
        <v/>
      </c>
      <c r="DS14" s="84" t="str">
        <f t="shared" si="27"/>
        <v/>
      </c>
      <c r="DT14" s="84" t="str">
        <f t="shared" si="27"/>
        <v/>
      </c>
      <c r="DU14" s="84" t="str">
        <f t="shared" si="27"/>
        <v/>
      </c>
      <c r="DV14" s="84" t="str">
        <f t="shared" si="27"/>
        <v/>
      </c>
      <c r="DW14" s="84" t="str">
        <f t="shared" si="27"/>
        <v/>
      </c>
      <c r="DX14" s="84" t="str">
        <f t="shared" si="27"/>
        <v/>
      </c>
      <c r="DY14" s="84" t="str">
        <f t="shared" si="27"/>
        <v/>
      </c>
      <c r="DZ14" s="84" t="str">
        <f t="shared" si="27"/>
        <v/>
      </c>
      <c r="EA14" s="84" t="str">
        <f t="shared" si="27"/>
        <v/>
      </c>
      <c r="EB14" s="84" t="str">
        <f t="shared" si="27"/>
        <v/>
      </c>
      <c r="EC14" s="84" t="str">
        <f t="shared" si="27"/>
        <v/>
      </c>
      <c r="ED14" s="84" t="str">
        <f t="shared" si="27"/>
        <v/>
      </c>
      <c r="EE14" s="84" t="str">
        <f t="shared" si="27"/>
        <v/>
      </c>
      <c r="EF14" s="84" t="str">
        <f t="shared" si="27"/>
        <v/>
      </c>
      <c r="EG14" s="84" t="str">
        <f t="shared" ref="EG14:GR14" si="28">IF(EG7&lt;&gt;"","H","")</f>
        <v/>
      </c>
      <c r="EH14" s="84" t="str">
        <f t="shared" si="28"/>
        <v/>
      </c>
      <c r="EI14" s="84" t="str">
        <f t="shared" si="28"/>
        <v/>
      </c>
      <c r="EJ14" s="84" t="str">
        <f t="shared" si="28"/>
        <v/>
      </c>
      <c r="EK14" s="84" t="str">
        <f t="shared" si="28"/>
        <v/>
      </c>
      <c r="EL14" s="84" t="str">
        <f t="shared" si="28"/>
        <v/>
      </c>
      <c r="EM14" s="84" t="str">
        <f t="shared" si="28"/>
        <v/>
      </c>
      <c r="EN14" s="84" t="str">
        <f t="shared" si="28"/>
        <v/>
      </c>
      <c r="EO14" s="84" t="str">
        <f t="shared" si="28"/>
        <v/>
      </c>
      <c r="EP14" s="84" t="str">
        <f t="shared" si="28"/>
        <v/>
      </c>
      <c r="EQ14" s="84" t="str">
        <f t="shared" si="28"/>
        <v/>
      </c>
      <c r="ER14" s="84" t="str">
        <f t="shared" si="28"/>
        <v/>
      </c>
      <c r="ES14" s="84" t="str">
        <f t="shared" si="28"/>
        <v/>
      </c>
      <c r="ET14" s="84" t="str">
        <f t="shared" si="28"/>
        <v/>
      </c>
      <c r="EU14" s="84" t="str">
        <f t="shared" si="28"/>
        <v/>
      </c>
      <c r="EV14" s="84" t="str">
        <f t="shared" si="28"/>
        <v/>
      </c>
      <c r="EW14" s="84" t="str">
        <f t="shared" si="28"/>
        <v/>
      </c>
      <c r="EX14" s="84" t="str">
        <f t="shared" si="28"/>
        <v/>
      </c>
      <c r="EY14" s="84" t="str">
        <f t="shared" si="28"/>
        <v/>
      </c>
      <c r="EZ14" s="84" t="str">
        <f t="shared" si="28"/>
        <v/>
      </c>
      <c r="FA14" s="84" t="str">
        <f t="shared" si="28"/>
        <v/>
      </c>
      <c r="FB14" s="84" t="str">
        <f t="shared" si="28"/>
        <v/>
      </c>
      <c r="FC14" s="84" t="str">
        <f t="shared" si="28"/>
        <v/>
      </c>
      <c r="FD14" s="84" t="str">
        <f t="shared" si="28"/>
        <v/>
      </c>
      <c r="FE14" s="84" t="str">
        <f t="shared" si="28"/>
        <v/>
      </c>
      <c r="FF14" s="84" t="str">
        <f t="shared" si="28"/>
        <v/>
      </c>
      <c r="FG14" s="84" t="str">
        <f t="shared" si="28"/>
        <v/>
      </c>
      <c r="FH14" s="84" t="str">
        <f t="shared" si="28"/>
        <v/>
      </c>
      <c r="FI14" s="84" t="str">
        <f t="shared" si="28"/>
        <v/>
      </c>
      <c r="FJ14" s="84" t="str">
        <f t="shared" si="28"/>
        <v/>
      </c>
      <c r="FK14" s="84" t="str">
        <f t="shared" si="28"/>
        <v/>
      </c>
      <c r="FL14" s="84" t="str">
        <f t="shared" si="28"/>
        <v/>
      </c>
      <c r="FM14" s="84" t="str">
        <f t="shared" si="28"/>
        <v/>
      </c>
      <c r="FN14" s="84" t="str">
        <f t="shared" si="28"/>
        <v/>
      </c>
      <c r="FO14" s="84" t="str">
        <f t="shared" si="28"/>
        <v/>
      </c>
      <c r="FP14" s="84" t="str">
        <f t="shared" si="28"/>
        <v/>
      </c>
      <c r="FQ14" s="84" t="str">
        <f t="shared" si="28"/>
        <v/>
      </c>
      <c r="FR14" s="84" t="str">
        <f t="shared" si="28"/>
        <v/>
      </c>
      <c r="FS14" s="84" t="str">
        <f t="shared" si="28"/>
        <v/>
      </c>
      <c r="FT14" s="84" t="str">
        <f t="shared" si="28"/>
        <v/>
      </c>
      <c r="FU14" s="84" t="str">
        <f t="shared" si="28"/>
        <v/>
      </c>
      <c r="FV14" s="84" t="str">
        <f t="shared" si="28"/>
        <v/>
      </c>
      <c r="FW14" s="84" t="str">
        <f t="shared" si="28"/>
        <v/>
      </c>
      <c r="FX14" s="84" t="str">
        <f t="shared" si="28"/>
        <v/>
      </c>
      <c r="FY14" s="84" t="str">
        <f t="shared" si="28"/>
        <v/>
      </c>
      <c r="FZ14" s="84" t="str">
        <f t="shared" si="28"/>
        <v/>
      </c>
      <c r="GA14" s="84" t="str">
        <f t="shared" si="28"/>
        <v/>
      </c>
      <c r="GB14" s="84" t="str">
        <f t="shared" si="28"/>
        <v/>
      </c>
      <c r="GC14" s="84" t="str">
        <f t="shared" si="28"/>
        <v/>
      </c>
      <c r="GD14" s="84" t="str">
        <f t="shared" si="28"/>
        <v/>
      </c>
      <c r="GE14" s="84" t="str">
        <f t="shared" si="28"/>
        <v/>
      </c>
      <c r="GF14" s="84" t="str">
        <f t="shared" si="28"/>
        <v/>
      </c>
      <c r="GG14" s="84" t="str">
        <f t="shared" si="28"/>
        <v/>
      </c>
      <c r="GH14" s="84" t="str">
        <f t="shared" si="28"/>
        <v/>
      </c>
      <c r="GI14" s="84" t="str">
        <f t="shared" si="28"/>
        <v/>
      </c>
      <c r="GJ14" s="84" t="str">
        <f t="shared" si="28"/>
        <v/>
      </c>
      <c r="GK14" s="84" t="str">
        <f t="shared" si="28"/>
        <v/>
      </c>
      <c r="GL14" s="84" t="str">
        <f t="shared" si="28"/>
        <v/>
      </c>
      <c r="GM14" s="84" t="str">
        <f t="shared" si="28"/>
        <v/>
      </c>
      <c r="GN14" s="84" t="str">
        <f t="shared" si="28"/>
        <v/>
      </c>
      <c r="GO14" s="84" t="str">
        <f t="shared" si="28"/>
        <v/>
      </c>
      <c r="GP14" s="84" t="str">
        <f t="shared" si="28"/>
        <v/>
      </c>
      <c r="GQ14" s="84" t="str">
        <f t="shared" si="28"/>
        <v/>
      </c>
      <c r="GR14" s="84" t="str">
        <f t="shared" si="28"/>
        <v/>
      </c>
      <c r="GS14" s="84" t="str">
        <f t="shared" ref="GS14:JD14" si="29">IF(GS7&lt;&gt;"","H","")</f>
        <v/>
      </c>
      <c r="GT14" s="84" t="str">
        <f t="shared" si="29"/>
        <v/>
      </c>
      <c r="GU14" s="84" t="str">
        <f t="shared" si="29"/>
        <v/>
      </c>
      <c r="GV14" s="84" t="str">
        <f t="shared" si="29"/>
        <v/>
      </c>
      <c r="GW14" s="84" t="str">
        <f t="shared" si="29"/>
        <v/>
      </c>
      <c r="GX14" s="84" t="str">
        <f t="shared" si="29"/>
        <v/>
      </c>
      <c r="GY14" s="84" t="str">
        <f t="shared" si="29"/>
        <v/>
      </c>
      <c r="GZ14" s="84" t="str">
        <f t="shared" si="29"/>
        <v/>
      </c>
      <c r="HA14" s="84" t="str">
        <f t="shared" si="29"/>
        <v/>
      </c>
      <c r="HB14" s="84" t="str">
        <f t="shared" si="29"/>
        <v/>
      </c>
      <c r="HC14" s="84" t="str">
        <f t="shared" si="29"/>
        <v/>
      </c>
      <c r="HD14" s="84" t="str">
        <f t="shared" si="29"/>
        <v/>
      </c>
      <c r="HE14" s="84" t="str">
        <f t="shared" si="29"/>
        <v/>
      </c>
      <c r="HF14" s="84" t="str">
        <f t="shared" si="29"/>
        <v/>
      </c>
      <c r="HG14" s="84" t="str">
        <f t="shared" si="29"/>
        <v/>
      </c>
      <c r="HH14" s="84" t="str">
        <f t="shared" si="29"/>
        <v/>
      </c>
      <c r="HI14" s="84" t="str">
        <f t="shared" si="29"/>
        <v/>
      </c>
      <c r="HJ14" s="84" t="str">
        <f t="shared" si="29"/>
        <v/>
      </c>
      <c r="HK14" s="84" t="str">
        <f t="shared" si="29"/>
        <v/>
      </c>
      <c r="HL14" s="84" t="str">
        <f t="shared" si="29"/>
        <v/>
      </c>
      <c r="HM14" s="84" t="str">
        <f t="shared" si="29"/>
        <v/>
      </c>
      <c r="HN14" s="84" t="str">
        <f t="shared" si="29"/>
        <v/>
      </c>
      <c r="HO14" s="84" t="str">
        <f t="shared" si="29"/>
        <v/>
      </c>
      <c r="HP14" s="84" t="str">
        <f t="shared" si="29"/>
        <v/>
      </c>
      <c r="HQ14" s="84" t="str">
        <f t="shared" si="29"/>
        <v/>
      </c>
      <c r="HR14" s="84" t="str">
        <f t="shared" si="29"/>
        <v/>
      </c>
      <c r="HS14" s="84" t="str">
        <f t="shared" si="29"/>
        <v/>
      </c>
      <c r="HT14" s="84" t="str">
        <f t="shared" si="29"/>
        <v/>
      </c>
      <c r="HU14" s="84" t="str">
        <f t="shared" si="29"/>
        <v/>
      </c>
      <c r="HV14" s="84" t="str">
        <f t="shared" si="29"/>
        <v/>
      </c>
      <c r="HW14" s="84" t="str">
        <f t="shared" si="29"/>
        <v/>
      </c>
      <c r="HX14" s="84" t="str">
        <f t="shared" si="29"/>
        <v/>
      </c>
      <c r="HY14" s="84" t="str">
        <f t="shared" si="29"/>
        <v/>
      </c>
      <c r="HZ14" s="84" t="str">
        <f t="shared" si="29"/>
        <v/>
      </c>
      <c r="IA14" s="84" t="str">
        <f t="shared" si="29"/>
        <v/>
      </c>
      <c r="IB14" s="84" t="str">
        <f t="shared" si="29"/>
        <v/>
      </c>
      <c r="IC14" s="84" t="str">
        <f t="shared" si="29"/>
        <v/>
      </c>
      <c r="ID14" s="84" t="str">
        <f t="shared" si="29"/>
        <v/>
      </c>
      <c r="IE14" s="84" t="str">
        <f t="shared" si="29"/>
        <v/>
      </c>
      <c r="IF14" s="84" t="str">
        <f t="shared" si="29"/>
        <v/>
      </c>
      <c r="IG14" s="84" t="str">
        <f t="shared" si="29"/>
        <v/>
      </c>
      <c r="IH14" s="84" t="str">
        <f t="shared" si="29"/>
        <v/>
      </c>
      <c r="II14" s="84" t="str">
        <f t="shared" si="29"/>
        <v/>
      </c>
      <c r="IJ14" s="84" t="str">
        <f t="shared" si="29"/>
        <v/>
      </c>
      <c r="IK14" s="84" t="str">
        <f t="shared" si="29"/>
        <v/>
      </c>
      <c r="IL14" s="84" t="str">
        <f t="shared" si="29"/>
        <v/>
      </c>
      <c r="IM14" s="84" t="str">
        <f t="shared" si="29"/>
        <v/>
      </c>
      <c r="IN14" s="84" t="str">
        <f t="shared" si="29"/>
        <v/>
      </c>
      <c r="IO14" s="84" t="str">
        <f t="shared" si="29"/>
        <v/>
      </c>
      <c r="IP14" s="84" t="str">
        <f t="shared" si="29"/>
        <v/>
      </c>
      <c r="IQ14" s="84" t="str">
        <f t="shared" si="29"/>
        <v/>
      </c>
      <c r="IR14" s="84" t="str">
        <f t="shared" si="29"/>
        <v/>
      </c>
      <c r="IS14" s="84" t="str">
        <f t="shared" si="29"/>
        <v/>
      </c>
      <c r="IT14" s="84" t="str">
        <f t="shared" si="29"/>
        <v/>
      </c>
      <c r="IU14" s="84" t="str">
        <f t="shared" si="29"/>
        <v/>
      </c>
      <c r="IV14" s="84" t="str">
        <f t="shared" si="29"/>
        <v/>
      </c>
      <c r="IW14" s="84" t="str">
        <f t="shared" si="29"/>
        <v/>
      </c>
      <c r="IX14" s="84" t="str">
        <f t="shared" si="29"/>
        <v/>
      </c>
      <c r="IY14" s="84" t="str">
        <f t="shared" si="29"/>
        <v/>
      </c>
      <c r="IZ14" s="84" t="str">
        <f t="shared" si="29"/>
        <v/>
      </c>
      <c r="JA14" s="84" t="str">
        <f t="shared" si="29"/>
        <v/>
      </c>
      <c r="JB14" s="84" t="str">
        <f t="shared" si="29"/>
        <v/>
      </c>
      <c r="JC14" s="84" t="str">
        <f t="shared" si="29"/>
        <v/>
      </c>
      <c r="JD14" s="84" t="str">
        <f t="shared" si="29"/>
        <v/>
      </c>
      <c r="JE14" s="84" t="str">
        <f t="shared" ref="JE14:LP14" si="30">IF(JE7&lt;&gt;"","H","")</f>
        <v/>
      </c>
      <c r="JF14" s="84" t="str">
        <f t="shared" si="30"/>
        <v/>
      </c>
      <c r="JG14" s="84" t="str">
        <f t="shared" si="30"/>
        <v/>
      </c>
      <c r="JH14" s="84" t="str">
        <f t="shared" si="30"/>
        <v/>
      </c>
      <c r="JI14" s="84" t="str">
        <f t="shared" si="30"/>
        <v/>
      </c>
      <c r="JJ14" s="84" t="str">
        <f t="shared" si="30"/>
        <v/>
      </c>
      <c r="JK14" s="84" t="str">
        <f t="shared" si="30"/>
        <v/>
      </c>
      <c r="JL14" s="84" t="str">
        <f t="shared" si="30"/>
        <v/>
      </c>
      <c r="JM14" s="84" t="str">
        <f t="shared" si="30"/>
        <v/>
      </c>
      <c r="JN14" s="84" t="str">
        <f t="shared" si="30"/>
        <v/>
      </c>
      <c r="JO14" s="84" t="str">
        <f t="shared" si="30"/>
        <v/>
      </c>
      <c r="JP14" s="84" t="str">
        <f t="shared" si="30"/>
        <v/>
      </c>
      <c r="JQ14" s="84" t="str">
        <f t="shared" si="30"/>
        <v/>
      </c>
      <c r="JR14" s="84" t="str">
        <f t="shared" si="30"/>
        <v/>
      </c>
      <c r="JS14" s="84" t="str">
        <f t="shared" si="30"/>
        <v/>
      </c>
      <c r="JT14" s="84" t="str">
        <f t="shared" si="30"/>
        <v/>
      </c>
      <c r="JU14" s="84" t="str">
        <f t="shared" si="30"/>
        <v/>
      </c>
      <c r="JV14" s="84" t="str">
        <f t="shared" si="30"/>
        <v/>
      </c>
      <c r="JW14" s="84" t="str">
        <f t="shared" si="30"/>
        <v/>
      </c>
      <c r="JX14" s="84" t="str">
        <f t="shared" si="30"/>
        <v/>
      </c>
      <c r="JY14" s="84" t="str">
        <f t="shared" si="30"/>
        <v/>
      </c>
      <c r="JZ14" s="84" t="str">
        <f t="shared" si="30"/>
        <v/>
      </c>
      <c r="KA14" s="84" t="str">
        <f t="shared" si="30"/>
        <v/>
      </c>
      <c r="KB14" s="84" t="str">
        <f t="shared" si="30"/>
        <v/>
      </c>
      <c r="KC14" s="84" t="str">
        <f t="shared" si="30"/>
        <v/>
      </c>
      <c r="KD14" s="84" t="str">
        <f t="shared" si="30"/>
        <v/>
      </c>
      <c r="KE14" s="84" t="str">
        <f t="shared" si="30"/>
        <v/>
      </c>
      <c r="KF14" s="84" t="str">
        <f t="shared" si="30"/>
        <v/>
      </c>
      <c r="KG14" s="84" t="str">
        <f t="shared" si="30"/>
        <v/>
      </c>
      <c r="KH14" s="84" t="str">
        <f t="shared" si="30"/>
        <v/>
      </c>
      <c r="KI14" s="84" t="str">
        <f t="shared" si="30"/>
        <v/>
      </c>
      <c r="KJ14" s="84" t="str">
        <f t="shared" si="30"/>
        <v/>
      </c>
      <c r="KK14" s="84" t="str">
        <f t="shared" si="30"/>
        <v/>
      </c>
      <c r="KL14" s="84" t="str">
        <f t="shared" si="30"/>
        <v/>
      </c>
      <c r="KM14" s="84" t="str">
        <f t="shared" si="30"/>
        <v/>
      </c>
      <c r="KN14" s="84" t="str">
        <f t="shared" si="30"/>
        <v/>
      </c>
      <c r="KO14" s="84" t="str">
        <f t="shared" si="30"/>
        <v/>
      </c>
      <c r="KP14" s="84" t="str">
        <f t="shared" si="30"/>
        <v/>
      </c>
      <c r="KQ14" s="84" t="str">
        <f t="shared" si="30"/>
        <v/>
      </c>
      <c r="KR14" s="84" t="str">
        <f t="shared" si="30"/>
        <v/>
      </c>
      <c r="KS14" s="84" t="str">
        <f t="shared" si="30"/>
        <v/>
      </c>
      <c r="KT14" s="84" t="str">
        <f t="shared" si="30"/>
        <v/>
      </c>
      <c r="KU14" s="84" t="str">
        <f t="shared" si="30"/>
        <v/>
      </c>
      <c r="KV14" s="84" t="str">
        <f t="shared" si="30"/>
        <v/>
      </c>
      <c r="KW14" s="84" t="str">
        <f t="shared" si="30"/>
        <v/>
      </c>
      <c r="KX14" s="84" t="str">
        <f t="shared" si="30"/>
        <v/>
      </c>
      <c r="KY14" s="84" t="str">
        <f t="shared" si="30"/>
        <v/>
      </c>
      <c r="KZ14" s="84" t="str">
        <f t="shared" si="30"/>
        <v/>
      </c>
      <c r="LA14" s="84" t="str">
        <f t="shared" si="30"/>
        <v/>
      </c>
      <c r="LB14" s="84" t="str">
        <f t="shared" si="30"/>
        <v/>
      </c>
      <c r="LC14" s="84" t="str">
        <f t="shared" si="30"/>
        <v/>
      </c>
      <c r="LD14" s="84" t="str">
        <f t="shared" si="30"/>
        <v/>
      </c>
      <c r="LE14" s="84" t="str">
        <f t="shared" si="30"/>
        <v/>
      </c>
      <c r="LF14" s="84" t="str">
        <f t="shared" si="30"/>
        <v/>
      </c>
      <c r="LG14" s="84" t="str">
        <f t="shared" si="30"/>
        <v/>
      </c>
      <c r="LH14" s="84" t="str">
        <f t="shared" si="30"/>
        <v/>
      </c>
      <c r="LI14" s="84" t="str">
        <f t="shared" si="30"/>
        <v/>
      </c>
      <c r="LJ14" s="84" t="str">
        <f t="shared" si="30"/>
        <v/>
      </c>
      <c r="LK14" s="84" t="str">
        <f t="shared" si="30"/>
        <v/>
      </c>
      <c r="LL14" s="84" t="str">
        <f t="shared" si="30"/>
        <v/>
      </c>
      <c r="LM14" s="84" t="str">
        <f t="shared" si="30"/>
        <v/>
      </c>
      <c r="LN14" s="84" t="str">
        <f t="shared" si="30"/>
        <v/>
      </c>
      <c r="LO14" s="84" t="str">
        <f t="shared" si="30"/>
        <v/>
      </c>
      <c r="LP14" s="84" t="str">
        <f t="shared" si="30"/>
        <v/>
      </c>
      <c r="LQ14" s="84" t="str">
        <f t="shared" ref="LQ14:OB14" si="31">IF(LQ7&lt;&gt;"","H","")</f>
        <v/>
      </c>
      <c r="LR14" s="84" t="str">
        <f t="shared" si="31"/>
        <v/>
      </c>
      <c r="LS14" s="84" t="str">
        <f t="shared" si="31"/>
        <v/>
      </c>
      <c r="LT14" s="84" t="str">
        <f t="shared" si="31"/>
        <v/>
      </c>
      <c r="LU14" s="84" t="str">
        <f t="shared" si="31"/>
        <v/>
      </c>
      <c r="LV14" s="84" t="str">
        <f t="shared" si="31"/>
        <v/>
      </c>
      <c r="LW14" s="84" t="str">
        <f t="shared" si="31"/>
        <v/>
      </c>
      <c r="LX14" s="84" t="str">
        <f t="shared" si="31"/>
        <v/>
      </c>
      <c r="LY14" s="84" t="str">
        <f t="shared" si="31"/>
        <v/>
      </c>
      <c r="LZ14" s="84" t="str">
        <f t="shared" si="31"/>
        <v/>
      </c>
      <c r="MA14" s="84" t="str">
        <f t="shared" si="31"/>
        <v/>
      </c>
      <c r="MB14" s="84" t="str">
        <f t="shared" si="31"/>
        <v/>
      </c>
      <c r="MC14" s="84" t="str">
        <f t="shared" si="31"/>
        <v/>
      </c>
      <c r="MD14" s="84" t="str">
        <f t="shared" si="31"/>
        <v/>
      </c>
      <c r="ME14" s="84" t="str">
        <f t="shared" si="31"/>
        <v/>
      </c>
      <c r="MF14" s="84" t="str">
        <f t="shared" si="31"/>
        <v/>
      </c>
      <c r="MG14" s="84" t="str">
        <f t="shared" si="31"/>
        <v/>
      </c>
      <c r="MH14" s="84" t="str">
        <f t="shared" si="31"/>
        <v/>
      </c>
      <c r="MI14" s="84" t="str">
        <f t="shared" si="31"/>
        <v/>
      </c>
      <c r="MJ14" s="84" t="str">
        <f t="shared" si="31"/>
        <v/>
      </c>
      <c r="MK14" s="84" t="str">
        <f t="shared" si="31"/>
        <v/>
      </c>
      <c r="ML14" s="84" t="str">
        <f t="shared" si="31"/>
        <v/>
      </c>
      <c r="MM14" s="84" t="str">
        <f t="shared" si="31"/>
        <v/>
      </c>
      <c r="MN14" s="84" t="str">
        <f t="shared" si="31"/>
        <v/>
      </c>
      <c r="MO14" s="84" t="str">
        <f t="shared" si="31"/>
        <v/>
      </c>
      <c r="MP14" s="84" t="str">
        <f t="shared" si="31"/>
        <v/>
      </c>
      <c r="MQ14" s="84" t="str">
        <f t="shared" si="31"/>
        <v/>
      </c>
      <c r="MR14" s="84" t="str">
        <f t="shared" si="31"/>
        <v/>
      </c>
      <c r="MS14" s="84" t="str">
        <f t="shared" si="31"/>
        <v/>
      </c>
      <c r="MT14" s="84" t="str">
        <f t="shared" si="31"/>
        <v/>
      </c>
      <c r="MU14" s="84" t="str">
        <f t="shared" si="31"/>
        <v/>
      </c>
      <c r="MV14" s="84" t="str">
        <f t="shared" si="31"/>
        <v/>
      </c>
      <c r="MW14" s="84" t="str">
        <f t="shared" si="31"/>
        <v/>
      </c>
      <c r="MX14" s="84" t="str">
        <f t="shared" si="31"/>
        <v/>
      </c>
      <c r="MY14" s="84" t="str">
        <f t="shared" si="31"/>
        <v/>
      </c>
      <c r="MZ14" s="84" t="str">
        <f t="shared" si="31"/>
        <v/>
      </c>
      <c r="NA14" s="84" t="str">
        <f t="shared" si="31"/>
        <v/>
      </c>
      <c r="NB14" s="84" t="str">
        <f t="shared" si="31"/>
        <v/>
      </c>
      <c r="NC14" s="84" t="str">
        <f t="shared" si="31"/>
        <v/>
      </c>
      <c r="ND14" s="84" t="str">
        <f t="shared" si="31"/>
        <v/>
      </c>
      <c r="NE14" s="84" t="str">
        <f t="shared" si="31"/>
        <v/>
      </c>
      <c r="NF14" s="84" t="str">
        <f t="shared" si="31"/>
        <v/>
      </c>
      <c r="NG14" s="84" t="str">
        <f t="shared" si="31"/>
        <v/>
      </c>
      <c r="NH14" s="84" t="str">
        <f t="shared" si="31"/>
        <v/>
      </c>
      <c r="NI14" s="84" t="str">
        <f t="shared" si="31"/>
        <v/>
      </c>
      <c r="NJ14" s="84" t="str">
        <f t="shared" si="31"/>
        <v/>
      </c>
      <c r="NK14" s="84" t="str">
        <f t="shared" si="31"/>
        <v/>
      </c>
      <c r="NL14" s="84" t="str">
        <f t="shared" si="31"/>
        <v/>
      </c>
      <c r="NM14" s="84" t="str">
        <f t="shared" si="31"/>
        <v/>
      </c>
      <c r="NN14" s="84" t="str">
        <f t="shared" si="31"/>
        <v/>
      </c>
      <c r="NO14" s="84" t="str">
        <f t="shared" si="31"/>
        <v/>
      </c>
      <c r="NP14" s="84" t="str">
        <f t="shared" si="31"/>
        <v/>
      </c>
      <c r="NQ14" s="84" t="str">
        <f t="shared" si="31"/>
        <v/>
      </c>
      <c r="NR14" s="84" t="str">
        <f t="shared" si="31"/>
        <v/>
      </c>
      <c r="NS14" s="84" t="str">
        <f t="shared" si="31"/>
        <v/>
      </c>
      <c r="NT14" s="84" t="str">
        <f t="shared" si="31"/>
        <v/>
      </c>
      <c r="NU14" s="84" t="str">
        <f t="shared" si="31"/>
        <v/>
      </c>
      <c r="NV14" s="84" t="str">
        <f t="shared" si="31"/>
        <v/>
      </c>
      <c r="NW14" s="84" t="str">
        <f t="shared" si="31"/>
        <v/>
      </c>
      <c r="NX14" s="84" t="str">
        <f t="shared" si="31"/>
        <v/>
      </c>
      <c r="NY14" s="84" t="str">
        <f t="shared" si="31"/>
        <v/>
      </c>
      <c r="NZ14" s="84" t="str">
        <f t="shared" si="31"/>
        <v/>
      </c>
      <c r="OA14" s="84" t="str">
        <f t="shared" si="31"/>
        <v/>
      </c>
      <c r="OB14" s="84" t="str">
        <f t="shared" si="31"/>
        <v/>
      </c>
      <c r="OC14" s="84" t="str">
        <f t="shared" ref="OC14:QN14" si="32">IF(OC7&lt;&gt;"","H","")</f>
        <v/>
      </c>
      <c r="OD14" s="84" t="str">
        <f t="shared" si="32"/>
        <v/>
      </c>
      <c r="OE14" s="84" t="str">
        <f t="shared" si="32"/>
        <v/>
      </c>
      <c r="OF14" s="84" t="str">
        <f t="shared" si="32"/>
        <v/>
      </c>
      <c r="OG14" s="84" t="str">
        <f t="shared" si="32"/>
        <v/>
      </c>
      <c r="OH14" s="84" t="str">
        <f t="shared" si="32"/>
        <v/>
      </c>
      <c r="OI14" s="84" t="str">
        <f t="shared" si="32"/>
        <v/>
      </c>
      <c r="OJ14" s="84" t="str">
        <f t="shared" si="32"/>
        <v/>
      </c>
      <c r="OK14" s="84" t="str">
        <f t="shared" si="32"/>
        <v/>
      </c>
      <c r="OL14" s="84" t="str">
        <f t="shared" si="32"/>
        <v/>
      </c>
      <c r="OM14" s="84" t="str">
        <f t="shared" si="32"/>
        <v/>
      </c>
      <c r="ON14" s="84" t="str">
        <f t="shared" si="32"/>
        <v/>
      </c>
      <c r="OO14" s="84" t="str">
        <f t="shared" si="32"/>
        <v/>
      </c>
      <c r="OP14" s="84" t="str">
        <f t="shared" si="32"/>
        <v/>
      </c>
      <c r="OQ14" s="84" t="str">
        <f t="shared" si="32"/>
        <v/>
      </c>
      <c r="OR14" s="84" t="str">
        <f t="shared" si="32"/>
        <v/>
      </c>
      <c r="OS14" s="84" t="str">
        <f t="shared" si="32"/>
        <v/>
      </c>
      <c r="OT14" s="84" t="str">
        <f t="shared" si="32"/>
        <v/>
      </c>
      <c r="OU14" s="84" t="str">
        <f t="shared" si="32"/>
        <v/>
      </c>
      <c r="OV14" s="84" t="str">
        <f t="shared" si="32"/>
        <v/>
      </c>
      <c r="OW14" s="84" t="str">
        <f t="shared" si="32"/>
        <v/>
      </c>
      <c r="OX14" s="84" t="str">
        <f t="shared" si="32"/>
        <v/>
      </c>
      <c r="OY14" s="84" t="str">
        <f t="shared" si="32"/>
        <v/>
      </c>
      <c r="OZ14" s="84" t="str">
        <f t="shared" si="32"/>
        <v/>
      </c>
      <c r="PA14" s="84" t="str">
        <f t="shared" si="32"/>
        <v/>
      </c>
      <c r="PB14" s="84" t="str">
        <f t="shared" si="32"/>
        <v/>
      </c>
      <c r="PC14" s="84" t="str">
        <f t="shared" si="32"/>
        <v/>
      </c>
      <c r="PD14" s="84" t="str">
        <f t="shared" si="32"/>
        <v/>
      </c>
      <c r="PE14" s="84" t="str">
        <f t="shared" si="32"/>
        <v/>
      </c>
      <c r="PF14" s="84" t="str">
        <f t="shared" si="32"/>
        <v/>
      </c>
      <c r="PG14" s="84" t="str">
        <f t="shared" si="32"/>
        <v/>
      </c>
      <c r="PH14" s="84" t="str">
        <f t="shared" si="32"/>
        <v/>
      </c>
      <c r="PI14" s="84" t="str">
        <f t="shared" si="32"/>
        <v/>
      </c>
      <c r="PJ14" s="84" t="str">
        <f t="shared" si="32"/>
        <v/>
      </c>
      <c r="PK14" s="84" t="str">
        <f t="shared" si="32"/>
        <v/>
      </c>
      <c r="PL14" s="84" t="str">
        <f t="shared" si="32"/>
        <v/>
      </c>
      <c r="PM14" s="84" t="str">
        <f t="shared" si="32"/>
        <v/>
      </c>
      <c r="PN14" s="84" t="str">
        <f t="shared" si="32"/>
        <v/>
      </c>
      <c r="PO14" s="84" t="str">
        <f t="shared" si="32"/>
        <v/>
      </c>
      <c r="PP14" s="84" t="str">
        <f t="shared" si="32"/>
        <v/>
      </c>
      <c r="PQ14" s="84" t="str">
        <f t="shared" si="32"/>
        <v/>
      </c>
      <c r="PR14" s="84" t="str">
        <f t="shared" si="32"/>
        <v/>
      </c>
      <c r="PS14" s="84" t="str">
        <f t="shared" si="32"/>
        <v/>
      </c>
      <c r="PT14" s="84" t="str">
        <f t="shared" si="32"/>
        <v/>
      </c>
      <c r="PU14" s="84" t="str">
        <f t="shared" si="32"/>
        <v/>
      </c>
      <c r="PV14" s="84" t="str">
        <f t="shared" si="32"/>
        <v/>
      </c>
      <c r="PW14" s="84" t="str">
        <f t="shared" si="32"/>
        <v/>
      </c>
      <c r="PX14" s="84" t="str">
        <f t="shared" si="32"/>
        <v/>
      </c>
      <c r="PY14" s="84" t="str">
        <f t="shared" si="32"/>
        <v/>
      </c>
      <c r="PZ14" s="84" t="str">
        <f t="shared" si="32"/>
        <v/>
      </c>
      <c r="QA14" s="84" t="str">
        <f t="shared" si="32"/>
        <v/>
      </c>
      <c r="QB14" s="84" t="str">
        <f t="shared" si="32"/>
        <v/>
      </c>
      <c r="QC14" s="84" t="str">
        <f t="shared" si="32"/>
        <v/>
      </c>
      <c r="QD14" s="84" t="str">
        <f t="shared" si="32"/>
        <v/>
      </c>
      <c r="QE14" s="84" t="str">
        <f t="shared" si="32"/>
        <v/>
      </c>
      <c r="QF14" s="84" t="str">
        <f t="shared" si="32"/>
        <v/>
      </c>
      <c r="QG14" s="84" t="str">
        <f t="shared" si="32"/>
        <v/>
      </c>
      <c r="QH14" s="84" t="str">
        <f t="shared" si="32"/>
        <v/>
      </c>
      <c r="QI14" s="84" t="str">
        <f t="shared" si="32"/>
        <v/>
      </c>
      <c r="QJ14" s="84" t="str">
        <f t="shared" si="32"/>
        <v/>
      </c>
      <c r="QK14" s="84" t="str">
        <f t="shared" si="32"/>
        <v/>
      </c>
      <c r="QL14" s="84" t="str">
        <f t="shared" si="32"/>
        <v/>
      </c>
      <c r="QM14" s="84" t="str">
        <f t="shared" si="32"/>
        <v/>
      </c>
      <c r="QN14" s="84" t="str">
        <f t="shared" si="32"/>
        <v/>
      </c>
      <c r="QO14" s="84" t="str">
        <f t="shared" ref="QO14:SN14" si="33">IF(QO7&lt;&gt;"","H","")</f>
        <v/>
      </c>
      <c r="QP14" s="84" t="str">
        <f t="shared" si="33"/>
        <v/>
      </c>
      <c r="QQ14" s="84" t="str">
        <f t="shared" si="33"/>
        <v/>
      </c>
      <c r="QR14" s="84" t="str">
        <f t="shared" si="33"/>
        <v/>
      </c>
      <c r="QS14" s="84" t="str">
        <f t="shared" si="33"/>
        <v/>
      </c>
      <c r="QT14" s="84" t="str">
        <f t="shared" si="33"/>
        <v/>
      </c>
      <c r="QU14" s="84" t="str">
        <f t="shared" si="33"/>
        <v/>
      </c>
      <c r="QV14" s="84" t="str">
        <f t="shared" si="33"/>
        <v/>
      </c>
      <c r="QW14" s="84" t="str">
        <f t="shared" si="33"/>
        <v/>
      </c>
      <c r="QX14" s="84" t="str">
        <f t="shared" si="33"/>
        <v/>
      </c>
      <c r="QY14" s="84" t="str">
        <f t="shared" si="33"/>
        <v/>
      </c>
      <c r="QZ14" s="84" t="str">
        <f t="shared" si="33"/>
        <v/>
      </c>
      <c r="RA14" s="84" t="str">
        <f t="shared" si="33"/>
        <v/>
      </c>
      <c r="RB14" s="84" t="str">
        <f t="shared" si="33"/>
        <v/>
      </c>
      <c r="RC14" s="84" t="str">
        <f t="shared" si="33"/>
        <v/>
      </c>
      <c r="RD14" s="84" t="str">
        <f t="shared" si="33"/>
        <v/>
      </c>
      <c r="RE14" s="84" t="str">
        <f t="shared" si="33"/>
        <v/>
      </c>
      <c r="RF14" s="84" t="str">
        <f t="shared" si="33"/>
        <v/>
      </c>
      <c r="RG14" s="84" t="str">
        <f t="shared" si="33"/>
        <v/>
      </c>
      <c r="RH14" s="84" t="str">
        <f t="shared" si="33"/>
        <v/>
      </c>
      <c r="RI14" s="84" t="str">
        <f t="shared" si="33"/>
        <v/>
      </c>
      <c r="RJ14" s="84" t="str">
        <f t="shared" si="33"/>
        <v/>
      </c>
      <c r="RK14" s="84" t="str">
        <f t="shared" si="33"/>
        <v/>
      </c>
      <c r="RL14" s="84" t="str">
        <f t="shared" si="33"/>
        <v/>
      </c>
      <c r="RM14" s="84" t="str">
        <f t="shared" si="33"/>
        <v/>
      </c>
      <c r="RN14" s="84" t="str">
        <f t="shared" si="33"/>
        <v/>
      </c>
      <c r="RO14" s="84" t="str">
        <f t="shared" si="33"/>
        <v/>
      </c>
      <c r="RP14" s="84" t="str">
        <f t="shared" si="33"/>
        <v/>
      </c>
      <c r="RQ14" s="84" t="str">
        <f t="shared" si="33"/>
        <v/>
      </c>
      <c r="RR14" s="84" t="str">
        <f t="shared" si="33"/>
        <v/>
      </c>
      <c r="RS14" s="84" t="str">
        <f t="shared" si="33"/>
        <v/>
      </c>
      <c r="RT14" s="84" t="str">
        <f t="shared" si="33"/>
        <v/>
      </c>
      <c r="RU14" s="84" t="str">
        <f t="shared" si="33"/>
        <v/>
      </c>
      <c r="RV14" s="84" t="str">
        <f t="shared" si="33"/>
        <v/>
      </c>
      <c r="RW14" s="84" t="str">
        <f t="shared" si="33"/>
        <v/>
      </c>
      <c r="RX14" s="84" t="str">
        <f t="shared" si="33"/>
        <v/>
      </c>
      <c r="RY14" s="84" t="str">
        <f t="shared" si="33"/>
        <v/>
      </c>
      <c r="RZ14" s="84" t="str">
        <f t="shared" si="33"/>
        <v/>
      </c>
      <c r="SA14" s="84" t="str">
        <f t="shared" si="33"/>
        <v/>
      </c>
      <c r="SB14" s="84" t="str">
        <f t="shared" si="33"/>
        <v/>
      </c>
      <c r="SC14" s="84" t="str">
        <f t="shared" si="33"/>
        <v/>
      </c>
      <c r="SD14" s="84" t="str">
        <f t="shared" si="33"/>
        <v/>
      </c>
      <c r="SE14" s="84" t="str">
        <f t="shared" si="33"/>
        <v/>
      </c>
      <c r="SF14" s="84" t="str">
        <f t="shared" si="33"/>
        <v/>
      </c>
      <c r="SG14" s="84" t="str">
        <f t="shared" si="33"/>
        <v/>
      </c>
      <c r="SH14" s="84" t="str">
        <f t="shared" si="33"/>
        <v/>
      </c>
      <c r="SI14" s="84" t="str">
        <f t="shared" si="33"/>
        <v/>
      </c>
      <c r="SJ14" s="84" t="str">
        <f t="shared" si="33"/>
        <v/>
      </c>
      <c r="SK14" s="84" t="str">
        <f t="shared" si="33"/>
        <v/>
      </c>
      <c r="SL14" s="84" t="str">
        <f t="shared" si="33"/>
        <v/>
      </c>
      <c r="SM14" s="84" t="str">
        <f t="shared" si="33"/>
        <v/>
      </c>
      <c r="SN14" s="84" t="str">
        <f t="shared" si="33"/>
        <v/>
      </c>
    </row>
    <row r="16" spans="2:508" ht="15" customHeight="1"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</row>
    <row r="17" customFormat="1"/>
    <row r="18" customFormat="1" ht="69.95" customHeigh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t="15" customHeight="1"/>
    <row r="29" customFormat="1"/>
    <row r="30" customFormat="1"/>
    <row r="31" customFormat="1"/>
    <row r="32" customFormat="1" ht="69.95" customHeigh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 ht="69.95" customHeigh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 ht="69.95" customHeigh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 ht="69.95" customHeigh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 ht="69.95" customHeigh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 ht="69.95" customHeigh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</sheetData>
  <conditionalFormatting sqref="G12:SN14">
    <cfRule type="cellIs" dxfId="81" priority="2260" operator="equal">
      <formula>""""""</formula>
    </cfRule>
    <cfRule type="cellIs" dxfId="80" priority="2262" operator="equal">
      <formula>"H"</formula>
    </cfRule>
  </conditionalFormatting>
  <conditionalFormatting sqref="G9:SN9">
    <cfRule type="cellIs" dxfId="79" priority="2246" operator="equal">
      <formula>"C"</formula>
    </cfRule>
  </conditionalFormatting>
  <conditionalFormatting sqref="G9:SN9">
    <cfRule type="cellIs" dxfId="78" priority="2249" operator="equal">
      <formula>""""""</formula>
    </cfRule>
  </conditionalFormatting>
  <conditionalFormatting sqref="G5:SN7">
    <cfRule type="cellIs" dxfId="77" priority="2957" operator="equal">
      <formula>"S"</formula>
    </cfRule>
    <cfRule type="cellIs" dxfId="76" priority="2958" operator="equal">
      <formula>"IC"</formula>
    </cfRule>
    <cfRule type="cellIs" dxfId="75" priority="2959" operator="equal">
      <formula>"DS"</formula>
    </cfRule>
    <cfRule type="cellIs" dxfId="74" priority="2960" operator="equal">
      <formula>"V"</formula>
    </cfRule>
    <cfRule type="cellIs" dxfId="73" priority="2961" operator="equal">
      <formula>""""""</formula>
    </cfRule>
    <cfRule type="cellIs" dxfId="72" priority="2963" operator="equal">
      <formula>"H"</formula>
    </cfRule>
    <cfRule type="cellIs" dxfId="71" priority="2964" operator="equal">
      <formula>"I"</formula>
    </cfRule>
    <cfRule type="cellIs" dxfId="70" priority="2965" operator="equal">
      <formula>"D"</formula>
    </cfRule>
    <cfRule type="cellIs" dxfId="69" priority="2966" operator="equal">
      <formula>"EM"</formula>
    </cfRule>
    <cfRule type="cellIs" dxfId="68" priority="2967" operator="equal">
      <formula>"X"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GenerateSchedule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733425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copySchedule">
                <anchor moveWithCells="1" sizeWithCells="1">
                  <from>
                    <xdr:col>0</xdr:col>
                    <xdr:colOff>19050</xdr:colOff>
                    <xdr:row>3</xdr:row>
                    <xdr:rowOff>209550</xdr:rowOff>
                  </from>
                  <to>
                    <xdr:col>0</xdr:col>
                    <xdr:colOff>723900</xdr:colOff>
                    <xdr:row>3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defaultSize="0" print="0" autoFill="0" autoPict="0" macro="[0]!DelCurrentSheet">
                <anchor moveWithCells="1" sizeWithCells="1">
                  <from>
                    <xdr:col>0</xdr:col>
                    <xdr:colOff>9525</xdr:colOff>
                    <xdr:row>4</xdr:row>
                    <xdr:rowOff>38100</xdr:rowOff>
                  </from>
                  <to>
                    <xdr:col>0</xdr:col>
                    <xdr:colOff>723900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0000000}">
          <x14:formula1>
            <xm:f>'Datos de entrada MOD'!$E$25:$E$26</xm:f>
          </x14:formula1>
          <xm:sqref>D19:D21 D5:D7 D89:D91 D75:D77 D61:D63 D33:D35 D43 D17 D103:D105 D29:D31 D47:D49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theme="6" tint="0.59999389629810485"/>
    <pageSetUpPr fitToPage="1"/>
  </sheetPr>
  <dimension ref="B2:I33"/>
  <sheetViews>
    <sheetView showGridLines="0" view="pageBreakPreview" topLeftCell="A13" zoomScaleNormal="100" zoomScaleSheetLayoutView="100" workbookViewId="0">
      <selection activeCell="F10" sqref="F10"/>
    </sheetView>
  </sheetViews>
  <sheetFormatPr defaultColWidth="11.42578125" defaultRowHeight="15"/>
  <cols>
    <col min="2" max="2" width="8" style="3" customWidth="1"/>
    <col min="3" max="3" width="17.85546875" customWidth="1"/>
    <col min="4" max="4" width="11.85546875" customWidth="1"/>
    <col min="5" max="5" width="17.140625" customWidth="1"/>
    <col min="6" max="6" width="12.7109375" customWidth="1"/>
    <col min="7" max="7" width="14.140625" customWidth="1"/>
    <col min="9" max="9" width="38.85546875" customWidth="1"/>
  </cols>
  <sheetData>
    <row r="2" spans="2:9" ht="15.75" customHeight="1">
      <c r="B2" s="312" t="s">
        <v>260</v>
      </c>
      <c r="C2" s="312"/>
      <c r="D2" s="312"/>
      <c r="E2" s="312"/>
      <c r="F2" s="312"/>
      <c r="G2" s="312"/>
      <c r="H2" s="312"/>
      <c r="I2" s="312"/>
    </row>
    <row r="3" spans="2:9" ht="15.75" customHeight="1">
      <c r="B3" s="312" t="s">
        <v>261</v>
      </c>
      <c r="C3" s="312"/>
      <c r="D3" s="312"/>
      <c r="E3" s="312"/>
      <c r="F3" s="312"/>
      <c r="G3" s="312"/>
      <c r="H3" s="312"/>
      <c r="I3" s="312"/>
    </row>
    <row r="4" spans="2:9" ht="16.5" thickBot="1">
      <c r="B4" s="130"/>
      <c r="C4" s="130"/>
      <c r="D4" s="130"/>
      <c r="E4" s="130"/>
      <c r="F4" s="130"/>
      <c r="G4" s="130"/>
      <c r="H4" s="5"/>
    </row>
    <row r="5" spans="2:9" ht="16.5" customHeight="1" thickBot="1">
      <c r="F5" s="309" t="s">
        <v>262</v>
      </c>
      <c r="G5" s="310"/>
      <c r="H5" s="311"/>
      <c r="I5" s="182"/>
    </row>
    <row r="6" spans="2:9" ht="15.75" thickBot="1">
      <c r="B6" s="183" t="s">
        <v>51</v>
      </c>
      <c r="C6" s="184" t="s">
        <v>263</v>
      </c>
      <c r="D6" s="184" t="s">
        <v>264</v>
      </c>
      <c r="E6" s="185" t="s">
        <v>28</v>
      </c>
      <c r="F6" s="185" t="s">
        <v>86</v>
      </c>
      <c r="G6" s="185" t="s">
        <v>87</v>
      </c>
      <c r="H6" s="186" t="s">
        <v>137</v>
      </c>
      <c r="I6" s="182"/>
    </row>
    <row r="7" spans="2:9">
      <c r="B7" s="12">
        <v>1</v>
      </c>
      <c r="C7" s="13" t="s">
        <v>265</v>
      </c>
      <c r="D7" s="13" t="s">
        <v>266</v>
      </c>
      <c r="E7" s="180" t="s">
        <v>177</v>
      </c>
      <c r="F7" s="180">
        <v>4</v>
      </c>
      <c r="G7" s="180">
        <v>4</v>
      </c>
      <c r="H7" s="13">
        <v>4</v>
      </c>
      <c r="I7" s="6"/>
    </row>
    <row r="8" spans="2:9">
      <c r="B8" s="12">
        <v>2</v>
      </c>
      <c r="C8" s="11" t="s">
        <v>265</v>
      </c>
      <c r="D8" s="11" t="s">
        <v>267</v>
      </c>
      <c r="E8" s="181" t="s">
        <v>177</v>
      </c>
      <c r="F8" s="181">
        <v>6</v>
      </c>
      <c r="G8" s="181">
        <v>6</v>
      </c>
      <c r="H8" s="11">
        <v>6</v>
      </c>
      <c r="I8" s="6"/>
    </row>
    <row r="9" spans="2:9">
      <c r="B9" s="12">
        <v>3</v>
      </c>
      <c r="C9" s="11" t="s">
        <v>265</v>
      </c>
      <c r="D9" s="11" t="s">
        <v>268</v>
      </c>
      <c r="E9" s="181" t="s">
        <v>177</v>
      </c>
      <c r="F9" s="181">
        <v>8</v>
      </c>
      <c r="G9" s="181">
        <v>8</v>
      </c>
      <c r="H9" s="11">
        <v>8</v>
      </c>
      <c r="I9" s="6"/>
    </row>
    <row r="10" spans="2:9">
      <c r="B10" s="12">
        <v>4</v>
      </c>
      <c r="C10" s="11" t="s">
        <v>265</v>
      </c>
      <c r="D10" s="11" t="s">
        <v>269</v>
      </c>
      <c r="E10" s="181" t="s">
        <v>177</v>
      </c>
      <c r="F10" s="181">
        <v>10</v>
      </c>
      <c r="G10" s="181">
        <v>10</v>
      </c>
      <c r="H10" s="11">
        <v>10</v>
      </c>
      <c r="I10" s="6"/>
    </row>
    <row r="11" spans="2:9">
      <c r="B11" s="12">
        <v>5</v>
      </c>
      <c r="C11" s="11" t="s">
        <v>270</v>
      </c>
      <c r="D11" s="11" t="s">
        <v>266</v>
      </c>
      <c r="E11" s="181" t="s">
        <v>271</v>
      </c>
      <c r="F11" s="181">
        <v>20</v>
      </c>
      <c r="G11" s="181">
        <v>20</v>
      </c>
      <c r="H11" s="11">
        <v>20</v>
      </c>
      <c r="I11" s="6"/>
    </row>
    <row r="12" spans="2:9">
      <c r="B12" s="12">
        <v>6</v>
      </c>
      <c r="C12" s="11" t="s">
        <v>270</v>
      </c>
      <c r="D12" s="11" t="s">
        <v>267</v>
      </c>
      <c r="E12" s="181" t="s">
        <v>271</v>
      </c>
      <c r="F12" s="181">
        <v>20</v>
      </c>
      <c r="G12" s="181">
        <v>20</v>
      </c>
      <c r="H12" s="11">
        <v>20</v>
      </c>
      <c r="I12" s="6"/>
    </row>
    <row r="13" spans="2:9">
      <c r="B13" s="12">
        <v>7</v>
      </c>
      <c r="C13" s="11" t="s">
        <v>270</v>
      </c>
      <c r="D13" s="11" t="s">
        <v>268</v>
      </c>
      <c r="E13" s="181" t="s">
        <v>271</v>
      </c>
      <c r="F13" s="181">
        <v>20</v>
      </c>
      <c r="G13" s="181">
        <v>20</v>
      </c>
      <c r="H13" s="11">
        <v>20</v>
      </c>
      <c r="I13" s="6"/>
    </row>
    <row r="14" spans="2:9">
      <c r="B14" s="12">
        <v>8</v>
      </c>
      <c r="C14" s="11" t="s">
        <v>270</v>
      </c>
      <c r="D14" s="11" t="s">
        <v>269</v>
      </c>
      <c r="E14" s="181" t="s">
        <v>271</v>
      </c>
      <c r="F14" s="181">
        <v>20</v>
      </c>
      <c r="G14" s="181">
        <v>20</v>
      </c>
      <c r="H14" s="11">
        <v>20</v>
      </c>
      <c r="I14" s="6"/>
    </row>
    <row r="15" spans="2:9">
      <c r="B15" s="12">
        <v>9</v>
      </c>
      <c r="C15" s="13" t="s">
        <v>154</v>
      </c>
      <c r="D15" s="13"/>
      <c r="E15" s="180" t="s">
        <v>272</v>
      </c>
      <c r="F15" s="180">
        <v>4</v>
      </c>
      <c r="G15" s="180">
        <v>5</v>
      </c>
      <c r="H15" s="11">
        <v>5</v>
      </c>
      <c r="I15" s="49"/>
    </row>
    <row r="16" spans="2:9">
      <c r="B16" s="12">
        <v>10</v>
      </c>
      <c r="C16" s="11" t="s">
        <v>273</v>
      </c>
      <c r="D16" s="11"/>
      <c r="E16" s="181" t="s">
        <v>272</v>
      </c>
      <c r="F16" s="181">
        <v>1</v>
      </c>
      <c r="G16" s="181">
        <v>5</v>
      </c>
      <c r="H16" s="11">
        <v>5</v>
      </c>
      <c r="I16" s="49"/>
    </row>
    <row r="17" spans="2:9">
      <c r="B17" s="12">
        <v>11</v>
      </c>
      <c r="C17" s="11" t="s">
        <v>274</v>
      </c>
      <c r="D17" s="11"/>
      <c r="E17" s="181" t="s">
        <v>272</v>
      </c>
      <c r="F17" s="181">
        <v>5</v>
      </c>
      <c r="G17" s="181">
        <v>5</v>
      </c>
      <c r="H17" s="11">
        <v>5</v>
      </c>
      <c r="I17" s="49"/>
    </row>
    <row r="18" spans="2:9">
      <c r="B18" s="12">
        <v>12</v>
      </c>
      <c r="C18" s="11" t="s">
        <v>195</v>
      </c>
      <c r="D18" s="11"/>
      <c r="E18" s="181" t="s">
        <v>272</v>
      </c>
      <c r="F18" s="181">
        <v>5</v>
      </c>
      <c r="G18" s="181">
        <v>5</v>
      </c>
      <c r="H18" s="11">
        <v>5</v>
      </c>
      <c r="I18" s="6"/>
    </row>
    <row r="20" spans="2:9">
      <c r="B20" s="312" t="s">
        <v>275</v>
      </c>
      <c r="C20" s="312"/>
      <c r="D20" s="312"/>
      <c r="E20" s="312"/>
      <c r="F20" s="312"/>
      <c r="G20" s="312"/>
      <c r="H20" s="312"/>
      <c r="I20" s="312"/>
    </row>
    <row r="21" spans="2:9">
      <c r="B21" s="312" t="s">
        <v>276</v>
      </c>
      <c r="C21" s="312"/>
      <c r="D21" s="312"/>
      <c r="E21" s="312"/>
      <c r="F21" s="312"/>
      <c r="G21" s="312"/>
      <c r="H21" s="312"/>
      <c r="I21" s="312"/>
    </row>
    <row r="22" spans="2:9" ht="15.75" thickBot="1"/>
    <row r="23" spans="2:9" ht="15.75" customHeight="1" thickBot="1">
      <c r="B23" s="183" t="s">
        <v>51</v>
      </c>
      <c r="C23" s="184" t="s">
        <v>27</v>
      </c>
      <c r="D23" s="185" t="s">
        <v>277</v>
      </c>
    </row>
    <row r="24" spans="2:9">
      <c r="B24" s="12">
        <v>1</v>
      </c>
      <c r="C24" s="13" t="s">
        <v>164</v>
      </c>
      <c r="D24" s="13">
        <v>163</v>
      </c>
    </row>
    <row r="25" spans="2:9">
      <c r="B25" s="42">
        <v>2</v>
      </c>
      <c r="C25" s="11" t="s">
        <v>166</v>
      </c>
      <c r="D25" s="13">
        <v>163</v>
      </c>
    </row>
    <row r="26" spans="2:9">
      <c r="B26" s="42">
        <v>3</v>
      </c>
      <c r="C26" s="11" t="s">
        <v>168</v>
      </c>
      <c r="D26" s="13">
        <v>110</v>
      </c>
    </row>
    <row r="27" spans="2:9">
      <c r="B27" s="42">
        <v>4</v>
      </c>
      <c r="C27" s="11" t="s">
        <v>170</v>
      </c>
      <c r="D27" s="13">
        <v>104</v>
      </c>
    </row>
    <row r="28" spans="2:9">
      <c r="B28" s="42">
        <v>5</v>
      </c>
      <c r="C28" s="11" t="s">
        <v>171</v>
      </c>
      <c r="D28" s="13">
        <v>97</v>
      </c>
    </row>
    <row r="29" spans="2:9">
      <c r="B29" s="42">
        <v>6</v>
      </c>
      <c r="C29" s="11" t="s">
        <v>174</v>
      </c>
      <c r="D29" s="13">
        <v>88</v>
      </c>
    </row>
    <row r="30" spans="2:9">
      <c r="B30" s="42">
        <v>7</v>
      </c>
      <c r="C30" s="11" t="s">
        <v>176</v>
      </c>
      <c r="D30" s="13">
        <v>80</v>
      </c>
    </row>
    <row r="31" spans="2:9">
      <c r="B31" s="42">
        <v>8</v>
      </c>
      <c r="C31" s="11" t="s">
        <v>179</v>
      </c>
      <c r="D31" s="13">
        <v>75</v>
      </c>
    </row>
    <row r="32" spans="2:9">
      <c r="B32" s="42">
        <v>9</v>
      </c>
      <c r="C32" s="11" t="s">
        <v>181</v>
      </c>
      <c r="D32" s="13">
        <v>62</v>
      </c>
    </row>
    <row r="33" spans="4:4">
      <c r="D33" s="227">
        <v>0</v>
      </c>
    </row>
  </sheetData>
  <mergeCells count="5">
    <mergeCell ref="F5:H5"/>
    <mergeCell ref="B2:I2"/>
    <mergeCell ref="B3:I3"/>
    <mergeCell ref="B20:I20"/>
    <mergeCell ref="B21:I21"/>
  </mergeCells>
  <pageMargins left="0.7" right="0.7" top="0.75" bottom="0.75" header="0.3" footer="0.3"/>
  <pageSetup paperSize="9" scale="5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>
    <tabColor rgb="FF92D050"/>
  </sheetPr>
  <dimension ref="A1:AE156"/>
  <sheetViews>
    <sheetView showGridLines="0" topLeftCell="A7" zoomScaleNormal="100" workbookViewId="0">
      <selection activeCell="F27" sqref="F27"/>
    </sheetView>
  </sheetViews>
  <sheetFormatPr defaultColWidth="11.42578125" defaultRowHeight="15"/>
  <cols>
    <col min="2" max="2" width="27.85546875" customWidth="1"/>
    <col min="3" max="3" width="14.5703125" customWidth="1"/>
    <col min="4" max="4" width="11.85546875" bestFit="1" customWidth="1"/>
    <col min="5" max="5" width="14.28515625" customWidth="1"/>
    <col min="6" max="6" width="19.140625" customWidth="1"/>
    <col min="7" max="7" width="13" customWidth="1"/>
    <col min="8" max="8" width="18.5703125" customWidth="1"/>
    <col min="12" max="12" width="22" customWidth="1"/>
    <col min="13" max="13" width="14.140625" customWidth="1"/>
    <col min="14" max="15" width="20.7109375" customWidth="1"/>
    <col min="16" max="16" width="23.28515625" customWidth="1"/>
    <col min="17" max="17" width="20.7109375" customWidth="1"/>
  </cols>
  <sheetData>
    <row r="1" spans="1:31">
      <c r="A1" s="276" t="s">
        <v>278</v>
      </c>
      <c r="B1" s="276"/>
      <c r="C1" s="276"/>
      <c r="D1" s="276"/>
      <c r="E1" s="276"/>
      <c r="F1" s="276"/>
      <c r="G1" s="276"/>
    </row>
    <row r="2" spans="1:31">
      <c r="B2" s="6"/>
      <c r="C2" s="6"/>
      <c r="D2" s="6"/>
      <c r="E2" s="6"/>
      <c r="F2" s="6"/>
      <c r="G2" s="6"/>
      <c r="L2" s="2"/>
      <c r="M2" s="2"/>
      <c r="N2" s="2"/>
    </row>
    <row r="3" spans="1:31" ht="15.75" thickBot="1">
      <c r="B3" s="314" t="s">
        <v>279</v>
      </c>
      <c r="C3" s="314"/>
      <c r="D3" s="53"/>
      <c r="E3" s="53"/>
      <c r="F3" s="6"/>
      <c r="G3" s="6"/>
      <c r="N3" s="2"/>
    </row>
    <row r="4" spans="1:31" ht="14.25" customHeight="1" thickBot="1">
      <c r="D4" s="53"/>
      <c r="E4" s="53"/>
      <c r="F4" s="6"/>
      <c r="G4" s="6"/>
      <c r="K4" s="154"/>
      <c r="L4" s="156" t="s">
        <v>280</v>
      </c>
      <c r="N4" s="2"/>
    </row>
    <row r="5" spans="1:31" ht="15.75" thickBot="1">
      <c r="B5" s="106" t="s">
        <v>281</v>
      </c>
      <c r="C5" s="139" t="s">
        <v>86</v>
      </c>
      <c r="G5" s="6"/>
      <c r="K5" s="155"/>
      <c r="L5" s="156" t="s">
        <v>282</v>
      </c>
      <c r="M5" s="152"/>
      <c r="N5" s="2"/>
    </row>
    <row r="6" spans="1:31" ht="16.5" customHeight="1">
      <c r="B6" s="106" t="s">
        <v>283</v>
      </c>
      <c r="C6" s="142" t="str">
        <f>VLOOKUP(C5,'Datos de entrada MOD'!C6:D8,2,FALSE)</f>
        <v>Minsur</v>
      </c>
      <c r="D6" s="53"/>
      <c r="L6" s="153"/>
      <c r="M6" s="15"/>
      <c r="N6" s="2"/>
    </row>
    <row r="7" spans="1:31">
      <c r="B7" s="106" t="s">
        <v>133</v>
      </c>
      <c r="C7" s="142" t="str">
        <f>VLOOKUP(C5,'Datos de entrada MOD'!C6:G8,5,FALSE)</f>
        <v>Sur</v>
      </c>
      <c r="D7" s="67"/>
      <c r="E7" s="67"/>
      <c r="L7" s="153"/>
      <c r="M7" s="15"/>
      <c r="N7" s="2"/>
    </row>
    <row r="8" spans="1:31">
      <c r="B8" s="106" t="s">
        <v>284</v>
      </c>
      <c r="C8" s="139" t="s">
        <v>7</v>
      </c>
      <c r="D8" s="67"/>
      <c r="E8" s="67"/>
      <c r="K8" s="136" t="s">
        <v>240</v>
      </c>
      <c r="N8" s="2"/>
    </row>
    <row r="9" spans="1:31">
      <c r="N9" s="2"/>
      <c r="AD9" t="s">
        <v>56</v>
      </c>
      <c r="AE9">
        <v>0</v>
      </c>
    </row>
    <row r="10" spans="1:31">
      <c r="B10" s="87" t="s">
        <v>285</v>
      </c>
      <c r="D10" s="67"/>
      <c r="E10" s="67"/>
      <c r="K10" s="69" t="s">
        <v>286</v>
      </c>
      <c r="L10" s="69"/>
      <c r="M10" s="69"/>
      <c r="N10" s="69"/>
      <c r="O10" s="69"/>
    </row>
    <row r="11" spans="1:31">
      <c r="B11" s="8"/>
      <c r="K11" s="69" t="s">
        <v>287</v>
      </c>
      <c r="L11" s="69"/>
      <c r="M11" s="69"/>
      <c r="N11" s="69"/>
      <c r="O11" s="69"/>
    </row>
    <row r="12" spans="1:31" ht="15.75" customHeight="1">
      <c r="A12" t="s">
        <v>288</v>
      </c>
      <c r="B12" s="103" t="s">
        <v>289</v>
      </c>
      <c r="D12" s="1" t="s">
        <v>290</v>
      </c>
      <c r="E12" s="1" t="s">
        <v>52</v>
      </c>
      <c r="F12" s="1" t="s">
        <v>291</v>
      </c>
      <c r="G12" s="1" t="s">
        <v>292</v>
      </c>
      <c r="I12" s="3"/>
      <c r="K12" s="69" t="s">
        <v>293</v>
      </c>
      <c r="L12" s="69"/>
      <c r="M12" s="69"/>
      <c r="N12" s="69"/>
      <c r="O12" s="69"/>
    </row>
    <row r="13" spans="1:31">
      <c r="A13" t="s">
        <v>294</v>
      </c>
      <c r="B13" s="17" t="s">
        <v>193</v>
      </c>
      <c r="C13" s="1">
        <v>1</v>
      </c>
      <c r="D13" s="101">
        <v>6</v>
      </c>
      <c r="E13" s="101" t="s">
        <v>295</v>
      </c>
      <c r="F13" s="101">
        <v>2</v>
      </c>
      <c r="G13" s="116">
        <v>45413</v>
      </c>
      <c r="K13" s="69" t="s">
        <v>296</v>
      </c>
      <c r="L13" s="69"/>
      <c r="M13" s="69"/>
      <c r="N13" s="69"/>
      <c r="O13" s="69"/>
    </row>
    <row r="14" spans="1:31">
      <c r="B14" s="17" t="s">
        <v>148</v>
      </c>
      <c r="C14" s="1">
        <v>0</v>
      </c>
      <c r="D14" s="101"/>
      <c r="E14" s="101"/>
      <c r="F14" s="101"/>
      <c r="G14" s="116"/>
      <c r="K14" s="69" t="s">
        <v>297</v>
      </c>
      <c r="L14" s="69"/>
      <c r="M14" s="69"/>
      <c r="N14" s="69"/>
      <c r="O14" s="69"/>
    </row>
    <row r="15" spans="1:31">
      <c r="B15" s="17" t="s">
        <v>154</v>
      </c>
      <c r="C15" s="1">
        <v>1</v>
      </c>
      <c r="D15" s="101">
        <v>29</v>
      </c>
      <c r="E15" s="101" t="s">
        <v>298</v>
      </c>
      <c r="F15" s="104"/>
      <c r="G15" s="116">
        <v>45413</v>
      </c>
      <c r="K15" s="69" t="s">
        <v>299</v>
      </c>
      <c r="N15" s="2"/>
    </row>
    <row r="16" spans="1:31">
      <c r="B16" s="17" t="s">
        <v>75</v>
      </c>
      <c r="C16" s="1">
        <v>1</v>
      </c>
      <c r="D16" s="101">
        <v>7</v>
      </c>
      <c r="E16" s="101" t="s">
        <v>300</v>
      </c>
      <c r="F16" s="104"/>
      <c r="G16" s="116">
        <v>45413</v>
      </c>
      <c r="K16" s="69" t="s">
        <v>301</v>
      </c>
      <c r="L16" s="2"/>
      <c r="M16" s="2"/>
      <c r="N16" s="2"/>
    </row>
    <row r="17" spans="1:17">
      <c r="B17" s="17" t="s">
        <v>302</v>
      </c>
      <c r="C17" s="1">
        <v>0</v>
      </c>
      <c r="D17" s="104"/>
      <c r="E17" s="104"/>
      <c r="F17" s="104"/>
      <c r="G17" s="104"/>
      <c r="H17" s="177"/>
      <c r="K17" s="69" t="s">
        <v>303</v>
      </c>
    </row>
    <row r="18" spans="1:17">
      <c r="B18" s="17" t="s">
        <v>195</v>
      </c>
      <c r="C18" s="1">
        <v>0</v>
      </c>
      <c r="D18" s="104"/>
      <c r="E18" s="104"/>
      <c r="F18" s="104"/>
      <c r="G18" s="104"/>
    </row>
    <row r="19" spans="1:17">
      <c r="B19" s="27" t="s">
        <v>304</v>
      </c>
    </row>
    <row r="20" spans="1:17">
      <c r="B20" s="6"/>
    </row>
    <row r="21" spans="1:17" ht="18.75" customHeight="1">
      <c r="B21" s="105" t="s">
        <v>305</v>
      </c>
      <c r="C21" s="143" t="s">
        <v>180</v>
      </c>
    </row>
    <row r="22" spans="1:17" ht="22.5" customHeight="1">
      <c r="B22" s="10" t="s">
        <v>189</v>
      </c>
    </row>
    <row r="23" spans="1:17" ht="18.75" customHeight="1">
      <c r="B23" s="9" t="s">
        <v>191</v>
      </c>
    </row>
    <row r="24" spans="1:17">
      <c r="I24" s="107"/>
      <c r="O24" s="68"/>
      <c r="P24" s="68"/>
      <c r="Q24" s="68"/>
    </row>
    <row r="25" spans="1:17">
      <c r="B25" s="44" t="s">
        <v>249</v>
      </c>
      <c r="C25" s="140" t="s">
        <v>193</v>
      </c>
    </row>
    <row r="26" spans="1:17">
      <c r="B26" s="137" t="s">
        <v>250</v>
      </c>
      <c r="C26" s="144">
        <f>HLOOKUP(C25,'Table Headings'!$J$98:$O$102,2,FALSE)</f>
        <v>4</v>
      </c>
    </row>
    <row r="27" spans="1:17">
      <c r="B27" s="137" t="s">
        <v>251</v>
      </c>
      <c r="C27" s="144">
        <f>HLOOKUP(C25,'Table Headings'!$J$98:$O$102,3,FALSE)</f>
        <v>6</v>
      </c>
    </row>
    <row r="28" spans="1:17">
      <c r="B28" s="137" t="s">
        <v>252</v>
      </c>
      <c r="C28" s="144">
        <f>HLOOKUP(C25,'Table Headings'!$J$98:$O$102,4,FALSE)</f>
        <v>8</v>
      </c>
    </row>
    <row r="29" spans="1:17">
      <c r="B29" s="138" t="s">
        <v>253</v>
      </c>
      <c r="C29" s="145">
        <f>HLOOKUP(C25,'Table Headings'!$J$98:$O$102,5,FALSE)</f>
        <v>10</v>
      </c>
    </row>
    <row r="31" spans="1:17">
      <c r="B31" s="44" t="s">
        <v>249</v>
      </c>
      <c r="C31" s="140" t="s">
        <v>154</v>
      </c>
      <c r="D31" s="140" t="s">
        <v>75</v>
      </c>
    </row>
    <row r="32" spans="1:17">
      <c r="A32" s="174"/>
      <c r="B32" s="138" t="s">
        <v>255</v>
      </c>
      <c r="C32" s="178">
        <f>HLOOKUP(C31,'Table Headings'!$J$98:$O$102,2,FALSE)</f>
        <v>4</v>
      </c>
      <c r="D32" s="178">
        <f>HLOOKUP(D31,'Table Headings'!$J$98:$O$102,2,FALSE)</f>
        <v>1</v>
      </c>
    </row>
    <row r="38" spans="1:17">
      <c r="B38" s="175"/>
      <c r="C38" s="176"/>
      <c r="D38" s="176"/>
    </row>
    <row r="39" spans="1:17">
      <c r="B39" s="112"/>
      <c r="C39" s="119"/>
      <c r="D39" s="119"/>
    </row>
    <row r="40" spans="1:17">
      <c r="B40" s="112"/>
      <c r="C40" s="111"/>
      <c r="D40" s="111"/>
    </row>
    <row r="41" spans="1:17">
      <c r="B41" s="112"/>
      <c r="C41" s="111"/>
      <c r="D41" s="111"/>
    </row>
    <row r="42" spans="1:17">
      <c r="B42" s="112"/>
      <c r="C42" s="111"/>
      <c r="D42" s="111"/>
    </row>
    <row r="44" spans="1:17">
      <c r="A44" s="313"/>
      <c r="B44" s="313"/>
      <c r="C44" s="313"/>
      <c r="D44" s="313"/>
      <c r="E44" s="313"/>
      <c r="F44" s="313"/>
      <c r="G44" s="313"/>
      <c r="L44" s="313"/>
      <c r="M44" s="313"/>
      <c r="N44" s="313"/>
      <c r="O44" s="313"/>
      <c r="P44" s="313"/>
      <c r="Q44" s="313"/>
    </row>
    <row r="46" spans="1:17">
      <c r="B46" s="117"/>
      <c r="L46" s="117"/>
    </row>
    <row r="48" spans="1:17">
      <c r="B48" s="113"/>
      <c r="L48" s="113"/>
    </row>
    <row r="50" spans="2:17">
      <c r="B50" s="113"/>
      <c r="C50" s="113"/>
      <c r="D50" s="113"/>
      <c r="E50" s="113"/>
      <c r="F50" s="113"/>
      <c r="G50" s="113"/>
      <c r="L50" s="113"/>
      <c r="M50" s="113"/>
      <c r="N50" s="113"/>
      <c r="O50" s="113"/>
      <c r="P50" s="113"/>
      <c r="Q50" s="113"/>
    </row>
    <row r="51" spans="2:17">
      <c r="B51" s="115"/>
      <c r="C51" s="3"/>
      <c r="D51" s="110"/>
      <c r="E51" s="3"/>
      <c r="F51" s="3"/>
      <c r="G51" s="114"/>
      <c r="L51" s="110"/>
      <c r="M51" s="110"/>
      <c r="N51" s="110"/>
      <c r="O51" s="110"/>
      <c r="P51" s="110"/>
      <c r="Q51" s="110"/>
    </row>
    <row r="52" spans="2:17">
      <c r="B52" s="115"/>
      <c r="C52" s="3"/>
      <c r="D52" s="110"/>
      <c r="E52" s="3"/>
      <c r="F52" s="3"/>
      <c r="G52" s="114"/>
      <c r="L52" s="110"/>
      <c r="M52" s="110"/>
      <c r="N52" s="110"/>
      <c r="O52" s="110"/>
      <c r="P52" s="110"/>
      <c r="Q52" s="110"/>
    </row>
    <row r="53" spans="2:17">
      <c r="B53" s="115"/>
      <c r="C53" s="3"/>
      <c r="D53" s="110"/>
      <c r="E53" s="3"/>
      <c r="F53" s="3"/>
      <c r="G53" s="114"/>
      <c r="L53" s="110"/>
      <c r="M53" s="110"/>
      <c r="N53" s="110"/>
      <c r="O53" s="110"/>
      <c r="P53" s="110"/>
      <c r="Q53" s="110"/>
    </row>
    <row r="55" spans="2:17">
      <c r="B55" s="113"/>
      <c r="L55" s="118"/>
      <c r="M55" s="118"/>
      <c r="N55" s="110"/>
    </row>
    <row r="56" spans="2:17">
      <c r="L56" s="118"/>
      <c r="M56" s="118"/>
      <c r="N56" s="110"/>
    </row>
    <row r="57" spans="2:17">
      <c r="B57" s="113"/>
      <c r="C57" s="113"/>
      <c r="D57" s="113"/>
      <c r="E57" s="113"/>
      <c r="F57" s="113"/>
      <c r="G57" s="113"/>
      <c r="L57" s="118"/>
      <c r="M57" s="118"/>
      <c r="N57" s="110"/>
    </row>
    <row r="58" spans="2:17">
      <c r="B58" s="115"/>
      <c r="C58" s="3"/>
      <c r="D58" s="110"/>
      <c r="E58" s="3"/>
      <c r="F58" s="3"/>
      <c r="G58" s="114"/>
      <c r="L58" s="118"/>
      <c r="M58" s="118"/>
      <c r="N58" s="110"/>
    </row>
    <row r="59" spans="2:17">
      <c r="B59" s="115"/>
      <c r="C59" s="3"/>
      <c r="D59" s="110"/>
      <c r="E59" s="3"/>
      <c r="F59" s="3"/>
      <c r="G59" s="114"/>
    </row>
    <row r="60" spans="2:17">
      <c r="B60" s="115"/>
      <c r="C60" s="3"/>
      <c r="D60" s="110"/>
      <c r="E60" s="3"/>
      <c r="F60" s="3"/>
      <c r="G60" s="114"/>
      <c r="L60" s="113"/>
    </row>
    <row r="62" spans="2:17">
      <c r="B62" s="117"/>
      <c r="L62" s="113"/>
      <c r="M62" s="113"/>
      <c r="N62" s="113"/>
      <c r="O62" s="113"/>
      <c r="P62" s="113"/>
      <c r="Q62" s="113"/>
    </row>
    <row r="63" spans="2:17">
      <c r="L63" s="110"/>
      <c r="M63" s="110"/>
      <c r="N63" s="110"/>
      <c r="O63" s="110"/>
      <c r="P63" s="110"/>
      <c r="Q63" s="110"/>
    </row>
    <row r="64" spans="2:17">
      <c r="B64" s="113"/>
      <c r="L64" s="110"/>
      <c r="M64" s="110"/>
      <c r="N64" s="110"/>
      <c r="O64" s="110"/>
      <c r="P64" s="110"/>
      <c r="Q64" s="110"/>
    </row>
    <row r="65" spans="2:17">
      <c r="L65" s="110"/>
      <c r="M65" s="110"/>
      <c r="N65" s="110"/>
      <c r="O65" s="110"/>
      <c r="P65" s="110"/>
      <c r="Q65" s="110"/>
    </row>
    <row r="66" spans="2:17">
      <c r="B66" s="113"/>
      <c r="C66" s="113"/>
      <c r="D66" s="113"/>
      <c r="E66" s="113"/>
      <c r="F66" s="113"/>
      <c r="G66" s="113"/>
    </row>
    <row r="67" spans="2:17">
      <c r="B67" s="115"/>
      <c r="C67" s="3"/>
      <c r="D67" s="110"/>
      <c r="E67" s="3"/>
      <c r="F67" s="3"/>
      <c r="G67" s="114"/>
      <c r="L67" s="118"/>
      <c r="M67" s="118"/>
      <c r="N67" s="110"/>
    </row>
    <row r="68" spans="2:17">
      <c r="B68" s="115"/>
      <c r="C68" s="3"/>
      <c r="D68" s="110"/>
      <c r="E68" s="3"/>
      <c r="F68" s="3"/>
      <c r="G68" s="114"/>
      <c r="L68" s="118"/>
      <c r="M68" s="118"/>
      <c r="N68" s="110"/>
    </row>
    <row r="69" spans="2:17">
      <c r="B69" s="115"/>
      <c r="C69" s="3"/>
      <c r="D69" s="110"/>
      <c r="E69" s="3"/>
      <c r="F69" s="3"/>
      <c r="G69" s="114"/>
      <c r="L69" s="118"/>
      <c r="M69" s="118"/>
      <c r="N69" s="110"/>
    </row>
    <row r="70" spans="2:17">
      <c r="L70" s="118"/>
      <c r="M70" s="118"/>
      <c r="N70" s="110"/>
    </row>
    <row r="72" spans="2:17">
      <c r="L72" s="117"/>
    </row>
    <row r="74" spans="2:17">
      <c r="L74" s="113"/>
    </row>
    <row r="76" spans="2:17">
      <c r="L76" s="113"/>
      <c r="M76" s="113"/>
      <c r="N76" s="113"/>
      <c r="O76" s="113"/>
      <c r="P76" s="113"/>
      <c r="Q76" s="113"/>
    </row>
    <row r="77" spans="2:17">
      <c r="L77" s="110"/>
      <c r="M77" s="110"/>
      <c r="N77" s="110"/>
      <c r="O77" s="110"/>
      <c r="P77" s="110"/>
      <c r="Q77" s="110"/>
    </row>
    <row r="78" spans="2:17">
      <c r="L78" s="110"/>
      <c r="M78" s="110"/>
      <c r="N78" s="110"/>
      <c r="O78" s="110"/>
      <c r="P78" s="110"/>
      <c r="Q78" s="110"/>
    </row>
    <row r="79" spans="2:17">
      <c r="L79" s="110"/>
      <c r="M79" s="110"/>
      <c r="N79" s="110"/>
      <c r="O79" s="110"/>
      <c r="P79" s="110"/>
      <c r="Q79" s="110"/>
    </row>
    <row r="81" spans="12:17">
      <c r="L81" s="118"/>
      <c r="M81" s="118"/>
      <c r="N81" s="110"/>
    </row>
    <row r="82" spans="12:17">
      <c r="L82" s="118"/>
      <c r="M82" s="118"/>
      <c r="N82" s="110"/>
    </row>
    <row r="83" spans="12:17">
      <c r="L83" s="118"/>
      <c r="M83" s="118"/>
      <c r="N83" s="110"/>
    </row>
    <row r="84" spans="12:17">
      <c r="L84" s="118"/>
      <c r="M84" s="118"/>
      <c r="N84" s="110"/>
    </row>
    <row r="86" spans="12:17">
      <c r="L86" s="113"/>
      <c r="M86" s="113"/>
      <c r="N86" s="113"/>
      <c r="O86" s="113"/>
      <c r="P86" s="113"/>
      <c r="Q86" s="113"/>
    </row>
    <row r="87" spans="12:17">
      <c r="L87" s="110"/>
      <c r="M87" s="110"/>
      <c r="N87" s="110"/>
      <c r="O87" s="110"/>
      <c r="P87" s="110"/>
      <c r="Q87" s="110"/>
    </row>
    <row r="88" spans="12:17">
      <c r="L88" s="110"/>
      <c r="M88" s="110"/>
      <c r="N88" s="110"/>
      <c r="O88" s="110"/>
      <c r="P88" s="110"/>
      <c r="Q88" s="110"/>
    </row>
    <row r="89" spans="12:17">
      <c r="L89" s="110"/>
      <c r="M89" s="110"/>
      <c r="N89" s="110"/>
      <c r="O89" s="110"/>
      <c r="P89" s="110"/>
      <c r="Q89" s="110"/>
    </row>
    <row r="91" spans="12:17">
      <c r="L91" s="118"/>
      <c r="M91" s="118"/>
      <c r="N91" s="110"/>
    </row>
    <row r="92" spans="12:17">
      <c r="L92" s="118"/>
      <c r="M92" s="118"/>
      <c r="N92" s="110"/>
    </row>
    <row r="93" spans="12:17">
      <c r="L93" s="118"/>
      <c r="M93" s="118"/>
      <c r="N93" s="110"/>
    </row>
    <row r="94" spans="12:17">
      <c r="L94" s="118"/>
      <c r="M94" s="118"/>
      <c r="N94" s="110"/>
    </row>
    <row r="96" spans="12:17">
      <c r="L96" s="113"/>
    </row>
    <row r="98" spans="12:17">
      <c r="L98" s="113"/>
      <c r="M98" s="113"/>
      <c r="N98" s="113"/>
      <c r="O98" s="113"/>
      <c r="P98" s="113"/>
      <c r="Q98" s="113"/>
    </row>
    <row r="99" spans="12:17">
      <c r="L99" s="110"/>
      <c r="M99" s="110"/>
      <c r="N99" s="110"/>
      <c r="O99" s="110"/>
      <c r="P99" s="110"/>
      <c r="Q99" s="110"/>
    </row>
    <row r="100" spans="12:17">
      <c r="L100" s="110"/>
      <c r="M100" s="110"/>
      <c r="N100" s="110"/>
      <c r="O100" s="110"/>
      <c r="P100" s="110"/>
      <c r="Q100" s="110"/>
    </row>
    <row r="101" spans="12:17">
      <c r="L101" s="110"/>
      <c r="M101" s="110"/>
      <c r="N101" s="110"/>
      <c r="O101" s="110"/>
      <c r="P101" s="110"/>
      <c r="Q101" s="110"/>
    </row>
    <row r="103" spans="12:17">
      <c r="L103" s="118"/>
      <c r="M103" s="118"/>
      <c r="N103" s="110"/>
    </row>
    <row r="104" spans="12:17">
      <c r="L104" s="118"/>
      <c r="M104" s="118"/>
      <c r="N104" s="110"/>
    </row>
    <row r="105" spans="12:17">
      <c r="L105" s="118"/>
      <c r="M105" s="118"/>
      <c r="N105" s="110"/>
    </row>
    <row r="106" spans="12:17">
      <c r="L106" s="118"/>
      <c r="M106" s="118"/>
      <c r="N106" s="110"/>
    </row>
    <row r="108" spans="12:17">
      <c r="L108" s="117"/>
    </row>
    <row r="110" spans="12:17">
      <c r="L110" s="113"/>
    </row>
    <row r="112" spans="12:17">
      <c r="L112" s="113"/>
      <c r="M112" s="113"/>
      <c r="N112" s="113"/>
      <c r="O112" s="113"/>
      <c r="P112" s="113"/>
      <c r="Q112" s="113"/>
    </row>
    <row r="113" spans="12:17">
      <c r="L113" s="110"/>
      <c r="M113" s="110"/>
      <c r="N113" s="110"/>
      <c r="O113" s="110"/>
      <c r="P113" s="110"/>
      <c r="Q113" s="110"/>
    </row>
    <row r="114" spans="12:17">
      <c r="L114" s="110"/>
      <c r="M114" s="110"/>
      <c r="N114" s="110"/>
      <c r="O114" s="110"/>
      <c r="P114" s="110"/>
      <c r="Q114" s="110"/>
    </row>
    <row r="115" spans="12:17">
      <c r="L115" s="110"/>
      <c r="M115" s="110"/>
      <c r="N115" s="110"/>
      <c r="O115" s="110"/>
      <c r="P115" s="110"/>
      <c r="Q115" s="110"/>
    </row>
    <row r="117" spans="12:17">
      <c r="L117" s="118"/>
      <c r="M117" s="118"/>
      <c r="N117" s="110"/>
    </row>
    <row r="118" spans="12:17">
      <c r="L118" s="118"/>
      <c r="M118" s="118"/>
      <c r="N118" s="110"/>
    </row>
    <row r="119" spans="12:17">
      <c r="L119" s="118"/>
      <c r="M119" s="118"/>
      <c r="N119" s="110"/>
    </row>
    <row r="120" spans="12:17">
      <c r="L120" s="118"/>
      <c r="M120" s="118"/>
      <c r="N120" s="110"/>
    </row>
    <row r="122" spans="12:17">
      <c r="L122" s="113"/>
    </row>
    <row r="124" spans="12:17">
      <c r="L124" s="113"/>
      <c r="M124" s="113"/>
      <c r="N124" s="113"/>
      <c r="O124" s="113"/>
      <c r="P124" s="113"/>
      <c r="Q124" s="113"/>
    </row>
    <row r="125" spans="12:17">
      <c r="L125" s="110"/>
      <c r="M125" s="110"/>
      <c r="N125" s="110"/>
      <c r="O125" s="110"/>
      <c r="P125" s="110"/>
      <c r="Q125" s="110"/>
    </row>
    <row r="126" spans="12:17">
      <c r="L126" s="110"/>
      <c r="M126" s="110"/>
      <c r="N126" s="110"/>
      <c r="O126" s="110"/>
      <c r="P126" s="110"/>
      <c r="Q126" s="110"/>
    </row>
    <row r="127" spans="12:17">
      <c r="L127" s="110"/>
      <c r="M127" s="110"/>
      <c r="N127" s="110"/>
      <c r="O127" s="110"/>
      <c r="P127" s="110"/>
      <c r="Q127" s="110"/>
    </row>
    <row r="129" spans="12:17">
      <c r="L129" s="118"/>
      <c r="M129" s="118"/>
      <c r="N129" s="110"/>
    </row>
    <row r="130" spans="12:17">
      <c r="L130" s="118"/>
      <c r="M130" s="118"/>
      <c r="N130" s="110"/>
    </row>
    <row r="131" spans="12:17">
      <c r="L131" s="118"/>
      <c r="M131" s="118"/>
      <c r="N131" s="110"/>
    </row>
    <row r="132" spans="12:17">
      <c r="L132" s="118"/>
      <c r="M132" s="118"/>
      <c r="N132" s="110"/>
    </row>
    <row r="134" spans="12:17">
      <c r="L134" s="113"/>
    </row>
    <row r="136" spans="12:17">
      <c r="L136" s="113"/>
      <c r="M136" s="113"/>
      <c r="N136" s="113"/>
      <c r="O136" s="113"/>
      <c r="P136" s="113"/>
      <c r="Q136" s="113"/>
    </row>
    <row r="137" spans="12:17">
      <c r="L137" s="110"/>
      <c r="M137" s="110"/>
      <c r="N137" s="110"/>
      <c r="O137" s="110"/>
      <c r="P137" s="110"/>
      <c r="Q137" s="110"/>
    </row>
    <row r="138" spans="12:17">
      <c r="L138" s="110"/>
      <c r="M138" s="110"/>
      <c r="N138" s="110"/>
      <c r="O138" s="110"/>
      <c r="P138" s="110"/>
      <c r="Q138" s="110"/>
    </row>
    <row r="139" spans="12:17">
      <c r="L139" s="110"/>
      <c r="M139" s="110"/>
      <c r="N139" s="110"/>
      <c r="O139" s="110"/>
      <c r="P139" s="110"/>
      <c r="Q139" s="110"/>
    </row>
    <row r="141" spans="12:17">
      <c r="L141" s="118"/>
      <c r="M141" s="118"/>
      <c r="N141" s="110"/>
    </row>
    <row r="142" spans="12:17">
      <c r="L142" s="118"/>
      <c r="M142" s="118"/>
      <c r="N142" s="110"/>
    </row>
    <row r="143" spans="12:17">
      <c r="L143" s="118"/>
      <c r="M143" s="118"/>
      <c r="N143" s="110"/>
    </row>
    <row r="144" spans="12:17">
      <c r="L144" s="118"/>
      <c r="M144" s="118"/>
      <c r="N144" s="110"/>
    </row>
    <row r="146" spans="12:17">
      <c r="L146" s="113"/>
    </row>
    <row r="148" spans="12:17">
      <c r="L148" s="113"/>
      <c r="M148" s="113"/>
      <c r="N148" s="113"/>
      <c r="O148" s="113"/>
      <c r="P148" s="113"/>
      <c r="Q148" s="113"/>
    </row>
    <row r="149" spans="12:17">
      <c r="L149" s="110"/>
      <c r="M149" s="110"/>
      <c r="N149" s="110"/>
      <c r="O149" s="110"/>
      <c r="P149" s="110"/>
      <c r="Q149" s="110"/>
    </row>
    <row r="150" spans="12:17">
      <c r="L150" s="110"/>
      <c r="M150" s="110"/>
      <c r="N150" s="110"/>
      <c r="O150" s="110"/>
      <c r="P150" s="110"/>
      <c r="Q150" s="110"/>
    </row>
    <row r="151" spans="12:17">
      <c r="L151" s="110"/>
      <c r="M151" s="110"/>
      <c r="N151" s="110"/>
      <c r="O151" s="110"/>
      <c r="P151" s="110"/>
      <c r="Q151" s="110"/>
    </row>
    <row r="153" spans="12:17">
      <c r="L153" s="118"/>
      <c r="M153" s="118"/>
      <c r="N153" s="110"/>
    </row>
    <row r="154" spans="12:17">
      <c r="L154" s="118"/>
      <c r="M154" s="118"/>
      <c r="N154" s="110"/>
    </row>
    <row r="155" spans="12:17">
      <c r="L155" s="118"/>
      <c r="M155" s="118"/>
      <c r="N155" s="110"/>
    </row>
    <row r="156" spans="12:17">
      <c r="L156" s="118"/>
      <c r="M156" s="118"/>
      <c r="N156" s="110"/>
    </row>
  </sheetData>
  <mergeCells count="4">
    <mergeCell ref="L44:Q44"/>
    <mergeCell ref="B3:C3"/>
    <mergeCell ref="A1:G1"/>
    <mergeCell ref="A44:G44"/>
  </mergeCells>
  <conditionalFormatting sqref="D13:G13">
    <cfRule type="expression" dxfId="67" priority="26">
      <formula>IF($C$13=0,TRUE,FALSE)</formula>
    </cfRule>
  </conditionalFormatting>
  <conditionalFormatting sqref="D14:G14">
    <cfRule type="expression" dxfId="66" priority="25">
      <formula>IF($C$14=0,TRUE,FALSE)</formula>
    </cfRule>
  </conditionalFormatting>
  <conditionalFormatting sqref="D15:E15">
    <cfRule type="expression" dxfId="65" priority="24">
      <formula>IF($C$15=0,TRUE,FALSE)</formula>
    </cfRule>
  </conditionalFormatting>
  <conditionalFormatting sqref="D16:E16">
    <cfRule type="expression" dxfId="64" priority="23">
      <formula>IF($C$16=0,TRUE,FALSE)</formula>
    </cfRule>
  </conditionalFormatting>
  <conditionalFormatting sqref="O24:Q24">
    <cfRule type="cellIs" dxfId="63" priority="14" operator="equal">
      <formula>""""""</formula>
    </cfRule>
    <cfRule type="cellIs" dxfId="62" priority="15" operator="equal">
      <formula>"H"</formula>
    </cfRule>
    <cfRule type="cellIs" dxfId="61" priority="16" operator="equal">
      <formula>"H"</formula>
    </cfRule>
    <cfRule type="cellIs" dxfId="60" priority="17" operator="equal">
      <formula>"I"</formula>
    </cfRule>
    <cfRule type="cellIs" dxfId="59" priority="18" operator="equal">
      <formula>"D"</formula>
    </cfRule>
    <cfRule type="cellIs" dxfId="58" priority="19" operator="equal">
      <formula>"EM"</formula>
    </cfRule>
  </conditionalFormatting>
  <conditionalFormatting sqref="O24:Q24">
    <cfRule type="cellIs" dxfId="57" priority="10" operator="equal">
      <formula>"S"</formula>
    </cfRule>
    <cfRule type="cellIs" dxfId="56" priority="11" operator="equal">
      <formula>"C"</formula>
    </cfRule>
    <cfRule type="cellIs" dxfId="55" priority="12" operator="equal">
      <formula>"DS"</formula>
    </cfRule>
    <cfRule type="cellIs" dxfId="54" priority="13" operator="equal">
      <formula>"V"</formula>
    </cfRule>
    <cfRule type="cellIs" dxfId="53" priority="20" operator="equal">
      <formula>"X"</formula>
    </cfRule>
  </conditionalFormatting>
  <conditionalFormatting sqref="G16">
    <cfRule type="expression" dxfId="52" priority="4">
      <formula>IF($C$16=0,TRUE,FALSE)</formula>
    </cfRule>
  </conditionalFormatting>
  <conditionalFormatting sqref="G15">
    <cfRule type="expression" dxfId="51" priority="1">
      <formula>IF($C$15=0,TRUE,FALSE)</formula>
    </cfRule>
  </conditionalFormatting>
  <dataValidations count="1">
    <dataValidation type="list" allowBlank="1" showInputMessage="1" showErrorMessage="1" sqref="D109:D112 D95:D98 D141:D143 D79:D83 D72:D75 D131:D133 D54 D88:D91 D102:D104 D121:D123 D61" xr:uid="{00000000-0002-0000-0700-000000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14" name="CheckBox1">
          <controlPr defaultSize="0" autoLine="0" r:id="rId15">
            <anchor moveWithCells="1">
              <from>
                <xdr:col>2</xdr:col>
                <xdr:colOff>400050</xdr:colOff>
                <xdr:row>12</xdr:row>
                <xdr:rowOff>19050</xdr:rowOff>
              </from>
              <to>
                <xdr:col>2</xdr:col>
                <xdr:colOff>561975</xdr:colOff>
                <xdr:row>13</xdr:row>
                <xdr:rowOff>0</xdr:rowOff>
              </to>
            </anchor>
          </controlPr>
        </control>
      </mc:Choice>
      <mc:Fallback>
        <control shapeId="5124" r:id="rId14" name="CheckBox1"/>
      </mc:Fallback>
    </mc:AlternateContent>
    <mc:AlternateContent xmlns:mc="http://schemas.openxmlformats.org/markup-compatibility/2006">
      <mc:Choice Requires="x14">
        <control shapeId="5129" r:id="rId12" name="CheckBox2">
          <controlPr defaultSize="0" autoLine="0" r:id="rId13">
            <anchor moveWithCells="1">
              <from>
                <xdr:col>2</xdr:col>
                <xdr:colOff>400050</xdr:colOff>
                <xdr:row>13</xdr:row>
                <xdr:rowOff>9525</xdr:rowOff>
              </from>
              <to>
                <xdr:col>2</xdr:col>
                <xdr:colOff>561975</xdr:colOff>
                <xdr:row>13</xdr:row>
                <xdr:rowOff>180975</xdr:rowOff>
              </to>
            </anchor>
          </controlPr>
        </control>
      </mc:Choice>
      <mc:Fallback>
        <control shapeId="5129" r:id="rId12" name="CheckBox2"/>
      </mc:Fallback>
    </mc:AlternateContent>
    <mc:AlternateContent xmlns:mc="http://schemas.openxmlformats.org/markup-compatibility/2006">
      <mc:Choice Requires="x14">
        <control shapeId="5130" r:id="rId10" name="CheckBox3">
          <controlPr defaultSize="0" autoLine="0" r:id="rId11">
            <anchor moveWithCells="1">
              <from>
                <xdr:col>2</xdr:col>
                <xdr:colOff>400050</xdr:colOff>
                <xdr:row>14</xdr:row>
                <xdr:rowOff>19050</xdr:rowOff>
              </from>
              <to>
                <xdr:col>2</xdr:col>
                <xdr:colOff>561975</xdr:colOff>
                <xdr:row>15</xdr:row>
                <xdr:rowOff>0</xdr:rowOff>
              </to>
            </anchor>
          </controlPr>
        </control>
      </mc:Choice>
      <mc:Fallback>
        <control shapeId="5130" r:id="rId10" name="CheckBox3"/>
      </mc:Fallback>
    </mc:AlternateContent>
    <mc:AlternateContent xmlns:mc="http://schemas.openxmlformats.org/markup-compatibility/2006">
      <mc:Choice Requires="x14">
        <control shapeId="5131" r:id="rId8" name="CheckBox4">
          <controlPr defaultSize="0" autoLine="0" r:id="rId9">
            <anchor moveWithCells="1">
              <from>
                <xdr:col>2</xdr:col>
                <xdr:colOff>390525</xdr:colOff>
                <xdr:row>15</xdr:row>
                <xdr:rowOff>9525</xdr:rowOff>
              </from>
              <to>
                <xdr:col>2</xdr:col>
                <xdr:colOff>552450</xdr:colOff>
                <xdr:row>15</xdr:row>
                <xdr:rowOff>180975</xdr:rowOff>
              </to>
            </anchor>
          </controlPr>
        </control>
      </mc:Choice>
      <mc:Fallback>
        <control shapeId="5131" r:id="rId8" name="CheckBox4"/>
      </mc:Fallback>
    </mc:AlternateContent>
    <mc:AlternateContent xmlns:mc="http://schemas.openxmlformats.org/markup-compatibility/2006">
      <mc:Choice Requires="x14">
        <control shapeId="5132" r:id="rId6" name="CheckBox5">
          <controlPr defaultSize="0" autoLine="0" r:id="rId7">
            <anchor moveWithCells="1">
              <from>
                <xdr:col>2</xdr:col>
                <xdr:colOff>390525</xdr:colOff>
                <xdr:row>16</xdr:row>
                <xdr:rowOff>9525</xdr:rowOff>
              </from>
              <to>
                <xdr:col>2</xdr:col>
                <xdr:colOff>552450</xdr:colOff>
                <xdr:row>16</xdr:row>
                <xdr:rowOff>180975</xdr:rowOff>
              </to>
            </anchor>
          </controlPr>
        </control>
      </mc:Choice>
      <mc:Fallback>
        <control shapeId="5132" r:id="rId6" name="CheckBox5"/>
      </mc:Fallback>
    </mc:AlternateContent>
    <mc:AlternateContent xmlns:mc="http://schemas.openxmlformats.org/markup-compatibility/2006">
      <mc:Choice Requires="x14">
        <control shapeId="5133" r:id="rId4" name="CheckBox6">
          <controlPr defaultSize="0" autoLine="0" r:id="rId5">
            <anchor moveWithCells="1">
              <from>
                <xdr:col>2</xdr:col>
                <xdr:colOff>381000</xdr:colOff>
                <xdr:row>17</xdr:row>
                <xdr:rowOff>9525</xdr:rowOff>
              </from>
              <to>
                <xdr:col>2</xdr:col>
                <xdr:colOff>552450</xdr:colOff>
                <xdr:row>17</xdr:row>
                <xdr:rowOff>171450</xdr:rowOff>
              </to>
            </anchor>
          </controlPr>
        </control>
      </mc:Choice>
      <mc:Fallback>
        <control shapeId="5133" r:id="rId4" name="CheckBox6"/>
      </mc:Fallback>
    </mc:AlternateContent>
    <mc:AlternateContent xmlns:mc="http://schemas.openxmlformats.org/markup-compatibility/2006">
      <mc:Choice Requires="x14">
        <control shapeId="5138" r:id="rId16" name="Button 18">
          <controlPr defaultSize="0" print="0" autoFill="0" autoPict="0" macro="[0]!UpdateRateTable">
            <anchor moveWithCells="1" sizeWithCells="1">
              <from>
                <xdr:col>5</xdr:col>
                <xdr:colOff>66675</xdr:colOff>
                <xdr:row>20</xdr:row>
                <xdr:rowOff>123825</xdr:rowOff>
              </from>
              <to>
                <xdr:col>7</xdr:col>
                <xdr:colOff>247650</xdr:colOff>
                <xdr:row>21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1" r:id="rId17" name="Button 51">
          <controlPr defaultSize="0" print="0" autoFill="0" autoPict="0" macro="[0]!GenerateTabs">
            <anchor moveWithCells="1" sizeWithCells="1">
              <from>
                <xdr:col>1</xdr:col>
                <xdr:colOff>504825</xdr:colOff>
                <xdr:row>34</xdr:row>
                <xdr:rowOff>161925</xdr:rowOff>
              </from>
              <to>
                <xdr:col>2</xdr:col>
                <xdr:colOff>914400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2" r:id="rId18" name="Button 52">
          <controlPr defaultSize="0" print="0" autoFill="0" autoPict="0" macro="[0]!deleteDiasSheets">
            <anchor moveWithCells="1" sizeWithCells="1">
              <from>
                <xdr:col>3</xdr:col>
                <xdr:colOff>123825</xdr:colOff>
                <xdr:row>34</xdr:row>
                <xdr:rowOff>161925</xdr:rowOff>
              </from>
              <to>
                <xdr:col>5</xdr:col>
                <xdr:colOff>638175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3" r:id="rId19" name="Button 63">
          <controlPr defaultSize="0" print="0" autoFill="0" autoPict="0" macro="[0]!ResetProg">
            <anchor moveWithCells="1" sizeWithCells="1">
              <from>
                <xdr:col>4</xdr:col>
                <xdr:colOff>85725</xdr:colOff>
                <xdr:row>5</xdr:row>
                <xdr:rowOff>0</xdr:rowOff>
              </from>
              <to>
                <xdr:col>5</xdr:col>
                <xdr:colOff>209550</xdr:colOff>
                <xdr:row>7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1000000}">
          <x14:formula1>
            <xm:f>'Datos de entrada MOD'!$C$6:$C$8</xm:f>
          </x14:formula1>
          <xm:sqref>C5</xm:sqref>
        </x14:dataValidation>
        <x14:dataValidation type="list" allowBlank="1" showInputMessage="1" showErrorMessage="1" xr:uid="{00000000-0002-0000-0700-000002000000}">
          <x14:formula1>
            <xm:f>'Datos de entrada MOD'!$B$26:$B$27</xm:f>
          </x14:formula1>
          <xm:sqref>C21</xm:sqref>
        </x14:dataValidation>
        <x14:dataValidation type="list" allowBlank="1" showInputMessage="1" showErrorMessage="1" xr:uid="{00000000-0002-0000-0700-000003000000}">
          <x14:formula1>
            <xm:f>'Datos de entrada MOD'!$E$25:$E$26</xm:f>
          </x14:formula1>
          <xm:sqref>D51:D53 C8 D67:D69 D58:D60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3">
    <tabColor rgb="FF92D050"/>
  </sheetPr>
  <dimension ref="B2:J26"/>
  <sheetViews>
    <sheetView workbookViewId="0">
      <selection activeCell="D6" sqref="D6:F8"/>
    </sheetView>
  </sheetViews>
  <sheetFormatPr defaultColWidth="11.42578125" defaultRowHeight="15"/>
  <cols>
    <col min="2" max="2" width="19.140625" customWidth="1"/>
    <col min="5" max="5" width="24.28515625" customWidth="1"/>
  </cols>
  <sheetData>
    <row r="2" spans="2:10">
      <c r="B2" s="220" t="s">
        <v>263</v>
      </c>
      <c r="C2" s="220" t="s">
        <v>203</v>
      </c>
      <c r="D2" s="220" t="s">
        <v>221</v>
      </c>
      <c r="E2" s="220" t="s">
        <v>27</v>
      </c>
      <c r="F2" s="220" t="s">
        <v>222</v>
      </c>
      <c r="G2" s="220" t="s">
        <v>187</v>
      </c>
    </row>
    <row r="3" spans="2:10">
      <c r="B3" s="315" t="s">
        <v>193</v>
      </c>
      <c r="C3" s="315">
        <v>1</v>
      </c>
      <c r="D3" s="221" t="s">
        <v>306</v>
      </c>
      <c r="E3" s="221" t="s">
        <v>174</v>
      </c>
      <c r="F3" s="221" t="s">
        <v>7</v>
      </c>
      <c r="G3" s="224">
        <v>604</v>
      </c>
    </row>
    <row r="4" spans="2:10">
      <c r="B4" s="316"/>
      <c r="C4" s="316"/>
      <c r="D4" s="222"/>
      <c r="E4" s="222" t="s">
        <v>176</v>
      </c>
      <c r="F4" s="222" t="s">
        <v>7</v>
      </c>
      <c r="G4" s="225">
        <v>536</v>
      </c>
    </row>
    <row r="5" spans="2:10">
      <c r="B5" s="316"/>
      <c r="C5" s="317"/>
      <c r="D5" s="222"/>
      <c r="E5" s="222" t="s">
        <v>176</v>
      </c>
      <c r="F5" s="222" t="s">
        <v>7</v>
      </c>
      <c r="G5" s="225">
        <v>608</v>
      </c>
    </row>
    <row r="6" spans="2:10">
      <c r="B6" s="316"/>
      <c r="C6" s="315">
        <v>2</v>
      </c>
      <c r="D6" s="221" t="s">
        <v>306</v>
      </c>
      <c r="E6" s="221" t="s">
        <v>174</v>
      </c>
      <c r="F6" s="221">
        <v>42</v>
      </c>
      <c r="G6" s="224">
        <v>624</v>
      </c>
    </row>
    <row r="7" spans="2:10">
      <c r="B7" s="316"/>
      <c r="C7" s="316"/>
      <c r="D7" s="222"/>
      <c r="E7" s="222" t="s">
        <v>176</v>
      </c>
      <c r="F7" s="222">
        <v>40</v>
      </c>
      <c r="G7" s="225">
        <v>552</v>
      </c>
    </row>
    <row r="8" spans="2:10">
      <c r="B8" s="317"/>
      <c r="C8" s="317"/>
      <c r="D8" s="223"/>
      <c r="E8" s="223" t="s">
        <v>176</v>
      </c>
      <c r="F8" s="223">
        <v>44</v>
      </c>
      <c r="G8" s="226">
        <v>628</v>
      </c>
    </row>
    <row r="9" spans="2:10">
      <c r="B9" s="315" t="s">
        <v>148</v>
      </c>
      <c r="C9" s="315">
        <v>1</v>
      </c>
      <c r="D9" s="222"/>
      <c r="E9" s="222"/>
      <c r="F9" s="222"/>
      <c r="G9" s="225"/>
    </row>
    <row r="10" spans="2:10">
      <c r="B10" s="316"/>
      <c r="C10" s="316"/>
      <c r="D10" s="222"/>
      <c r="E10" s="222"/>
      <c r="F10" s="222"/>
      <c r="G10" s="225"/>
    </row>
    <row r="11" spans="2:10">
      <c r="B11" s="316"/>
      <c r="C11" s="317"/>
      <c r="D11" s="222"/>
      <c r="E11" s="222"/>
      <c r="F11" s="222"/>
      <c r="G11" s="225"/>
    </row>
    <row r="12" spans="2:10">
      <c r="B12" s="316"/>
      <c r="C12" s="315">
        <v>2</v>
      </c>
      <c r="D12" s="221"/>
      <c r="E12" s="221"/>
      <c r="F12" s="221"/>
      <c r="G12" s="224"/>
    </row>
    <row r="13" spans="2:10">
      <c r="B13" s="316"/>
      <c r="C13" s="316"/>
      <c r="D13" s="222"/>
      <c r="E13" s="222"/>
      <c r="F13" s="222"/>
      <c r="G13" s="225"/>
      <c r="J13" s="107"/>
    </row>
    <row r="14" spans="2:10">
      <c r="B14" s="317"/>
      <c r="C14" s="317"/>
      <c r="D14" s="223"/>
      <c r="E14" s="223"/>
      <c r="F14" s="223"/>
      <c r="G14" s="226"/>
    </row>
    <row r="15" spans="2:10">
      <c r="B15" s="315" t="s">
        <v>154</v>
      </c>
      <c r="C15" s="315" t="s">
        <v>307</v>
      </c>
      <c r="D15" s="222"/>
      <c r="E15" s="222"/>
      <c r="F15" s="222"/>
      <c r="G15" s="225"/>
    </row>
    <row r="16" spans="2:10">
      <c r="B16" s="316"/>
      <c r="C16" s="316"/>
      <c r="D16" s="222"/>
      <c r="E16" s="222"/>
      <c r="F16" s="222"/>
      <c r="G16" s="225"/>
    </row>
    <row r="17" spans="2:7">
      <c r="B17" s="317"/>
      <c r="C17" s="317"/>
      <c r="D17" s="222"/>
      <c r="E17" s="222"/>
      <c r="F17" s="222"/>
      <c r="G17" s="225"/>
    </row>
    <row r="18" spans="2:7">
      <c r="B18" s="315" t="s">
        <v>75</v>
      </c>
      <c r="C18" s="315" t="s">
        <v>307</v>
      </c>
      <c r="D18" s="221"/>
      <c r="E18" s="221"/>
      <c r="F18" s="221"/>
      <c r="G18" s="224"/>
    </row>
    <row r="19" spans="2:7">
      <c r="B19" s="316"/>
      <c r="C19" s="316"/>
      <c r="D19" s="222"/>
      <c r="E19" s="222"/>
      <c r="F19" s="222"/>
      <c r="G19" s="225"/>
    </row>
    <row r="20" spans="2:7">
      <c r="B20" s="317"/>
      <c r="C20" s="317"/>
      <c r="D20" s="223"/>
      <c r="E20" s="223"/>
      <c r="F20" s="223"/>
      <c r="G20" s="226"/>
    </row>
    <row r="21" spans="2:7" ht="15" customHeight="1">
      <c r="B21" s="315" t="s">
        <v>302</v>
      </c>
      <c r="C21" s="315" t="s">
        <v>307</v>
      </c>
      <c r="D21" s="222"/>
      <c r="E21" s="222"/>
      <c r="F21" s="222"/>
      <c r="G21" s="225"/>
    </row>
    <row r="22" spans="2:7">
      <c r="B22" s="316"/>
      <c r="C22" s="316"/>
      <c r="D22" s="222"/>
      <c r="E22" s="222"/>
      <c r="F22" s="222"/>
      <c r="G22" s="225"/>
    </row>
    <row r="23" spans="2:7">
      <c r="B23" s="317"/>
      <c r="C23" s="317"/>
      <c r="D23" s="222"/>
      <c r="E23" s="222"/>
      <c r="F23" s="222"/>
      <c r="G23" s="225"/>
    </row>
    <row r="24" spans="2:7">
      <c r="B24" s="315" t="s">
        <v>195</v>
      </c>
      <c r="C24" s="315" t="s">
        <v>307</v>
      </c>
      <c r="D24" s="221"/>
      <c r="E24" s="221"/>
      <c r="F24" s="221"/>
      <c r="G24" s="224"/>
    </row>
    <row r="25" spans="2:7">
      <c r="B25" s="316"/>
      <c r="C25" s="316"/>
      <c r="D25" s="222"/>
      <c r="E25" s="222"/>
      <c r="F25" s="222"/>
      <c r="G25" s="225"/>
    </row>
    <row r="26" spans="2:7">
      <c r="B26" s="317"/>
      <c r="C26" s="317"/>
      <c r="D26" s="223"/>
      <c r="E26" s="223"/>
      <c r="F26" s="223"/>
      <c r="G26" s="226"/>
    </row>
  </sheetData>
  <mergeCells count="14">
    <mergeCell ref="B24:B26"/>
    <mergeCell ref="B3:B8"/>
    <mergeCell ref="B9:B14"/>
    <mergeCell ref="B15:B17"/>
    <mergeCell ref="B18:B20"/>
    <mergeCell ref="B21:B23"/>
    <mergeCell ref="C21:C23"/>
    <mergeCell ref="C24:C26"/>
    <mergeCell ref="C3:C5"/>
    <mergeCell ref="C6:C8"/>
    <mergeCell ref="C9:C11"/>
    <mergeCell ref="C12:C14"/>
    <mergeCell ref="C15:C17"/>
    <mergeCell ref="C18:C20"/>
  </mergeCells>
  <conditionalFormatting sqref="D3:G26">
    <cfRule type="cellIs" dxfId="50" priority="1" operator="lessThanOr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3" name="Button 1">
              <controlPr defaultSize="0" print="0" autoFill="0" autoPict="0" macro="[0]!GetSummaryHrsForPersonal">
                <anchor moveWithCells="1" sizeWithCells="1">
                  <from>
                    <xdr:col>8</xdr:col>
                    <xdr:colOff>9525</xdr:colOff>
                    <xdr:row>0</xdr:row>
                    <xdr:rowOff>180975</xdr:rowOff>
                  </from>
                  <to>
                    <xdr:col>10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'Datos de entrada MOD'!$E$25:$E$26</xm:f>
          </x14:formula1>
          <xm:sqref>F3:F8 F15:F17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5">
    <tabColor rgb="FF92D050"/>
  </sheetPr>
  <dimension ref="B2:AF14"/>
  <sheetViews>
    <sheetView topLeftCell="L4" zoomScale="85" zoomScaleNormal="85" workbookViewId="0">
      <selection activeCell="W9" sqref="W9:X9"/>
    </sheetView>
  </sheetViews>
  <sheetFormatPr defaultColWidth="11.42578125" defaultRowHeight="15"/>
  <cols>
    <col min="2" max="2" width="9" customWidth="1"/>
    <col min="3" max="3" width="53.140625" customWidth="1"/>
  </cols>
  <sheetData>
    <row r="2" spans="2:32" ht="15.75" thickBot="1"/>
    <row r="3" spans="2:32" ht="15" customHeight="1">
      <c r="B3" s="298" t="s">
        <v>308</v>
      </c>
      <c r="C3" s="298" t="s">
        <v>309</v>
      </c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318" t="s">
        <v>310</v>
      </c>
    </row>
    <row r="4" spans="2:32" ht="75">
      <c r="B4" s="299"/>
      <c r="C4" s="307"/>
      <c r="D4" s="122" t="s">
        <v>311</v>
      </c>
      <c r="E4" s="122" t="s">
        <v>312</v>
      </c>
      <c r="F4" s="122" t="s">
        <v>313</v>
      </c>
      <c r="G4" s="122" t="s">
        <v>313</v>
      </c>
      <c r="H4" s="122" t="s">
        <v>313</v>
      </c>
      <c r="I4" s="122" t="s">
        <v>314</v>
      </c>
      <c r="J4" s="122" t="s">
        <v>315</v>
      </c>
      <c r="K4" s="122" t="s">
        <v>315</v>
      </c>
      <c r="L4" s="122" t="s">
        <v>316</v>
      </c>
      <c r="M4" s="122" t="s">
        <v>317</v>
      </c>
      <c r="N4" s="122" t="s">
        <v>318</v>
      </c>
      <c r="O4" s="122" t="s">
        <v>319</v>
      </c>
      <c r="P4" s="122" t="s">
        <v>164</v>
      </c>
      <c r="Q4" s="122" t="s">
        <v>166</v>
      </c>
      <c r="R4" s="122" t="s">
        <v>320</v>
      </c>
      <c r="S4" s="122" t="s">
        <v>321</v>
      </c>
      <c r="T4" s="122" t="s">
        <v>168</v>
      </c>
      <c r="U4" s="122" t="s">
        <v>170</v>
      </c>
      <c r="V4" s="122" t="s">
        <v>171</v>
      </c>
      <c r="W4" s="122" t="s">
        <v>174</v>
      </c>
      <c r="X4" s="122" t="s">
        <v>176</v>
      </c>
      <c r="Y4" s="122" t="s">
        <v>179</v>
      </c>
      <c r="Z4" s="122" t="s">
        <v>181</v>
      </c>
      <c r="AA4" s="122" t="s">
        <v>322</v>
      </c>
      <c r="AB4" s="122" t="s">
        <v>323</v>
      </c>
      <c r="AC4" s="122" t="s">
        <v>324</v>
      </c>
      <c r="AD4" s="122" t="s">
        <v>325</v>
      </c>
      <c r="AE4" s="122" t="s">
        <v>326</v>
      </c>
      <c r="AF4" s="319"/>
    </row>
    <row r="5" spans="2:32">
      <c r="B5" s="299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319"/>
    </row>
    <row r="6" spans="2:32" ht="15.75" thickBot="1">
      <c r="B6" s="320"/>
      <c r="C6" s="122" t="s">
        <v>327</v>
      </c>
      <c r="D6" s="252">
        <v>173</v>
      </c>
      <c r="E6" s="252"/>
      <c r="F6" s="252"/>
      <c r="G6" s="252"/>
      <c r="H6" s="252"/>
      <c r="I6" s="252"/>
      <c r="J6" s="252"/>
      <c r="K6" s="252"/>
      <c r="L6" s="252"/>
      <c r="M6" s="252">
        <v>167</v>
      </c>
      <c r="N6" s="252">
        <v>163</v>
      </c>
      <c r="O6" s="252">
        <v>173</v>
      </c>
      <c r="P6" s="252">
        <f>Rates!D24</f>
        <v>163</v>
      </c>
      <c r="Q6" s="252">
        <f>Rates!D25</f>
        <v>163</v>
      </c>
      <c r="R6" s="252">
        <v>134</v>
      </c>
      <c r="S6" s="252">
        <v>125</v>
      </c>
      <c r="T6" s="252">
        <f>Rates!D26</f>
        <v>110</v>
      </c>
      <c r="U6" s="252">
        <f>Rates!D27</f>
        <v>104</v>
      </c>
      <c r="V6" s="252">
        <f>Rates!D28</f>
        <v>97</v>
      </c>
      <c r="W6" s="252">
        <f>Rates!D29</f>
        <v>88</v>
      </c>
      <c r="X6" s="252">
        <f>Rates!D30</f>
        <v>80</v>
      </c>
      <c r="Y6" s="252">
        <f>Rates!D31</f>
        <v>75</v>
      </c>
      <c r="Z6" s="252">
        <f>Rates!D32</f>
        <v>62</v>
      </c>
      <c r="AA6" s="252">
        <v>50</v>
      </c>
      <c r="AB6" s="252">
        <v>55</v>
      </c>
      <c r="AC6" s="252">
        <v>58</v>
      </c>
      <c r="AD6" s="252">
        <v>41</v>
      </c>
      <c r="AE6" s="252">
        <v>39</v>
      </c>
      <c r="AF6" s="319"/>
    </row>
    <row r="7" spans="2:32" ht="45">
      <c r="B7" s="229">
        <v>2100</v>
      </c>
      <c r="C7" s="232" t="s">
        <v>328</v>
      </c>
      <c r="D7" s="254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/>
      <c r="U7" s="228"/>
      <c r="V7" s="228"/>
      <c r="W7" s="228"/>
      <c r="X7" s="228"/>
      <c r="Y7" s="228"/>
      <c r="Z7" s="228"/>
      <c r="AA7" s="228"/>
      <c r="AB7" s="228"/>
      <c r="AC7" s="228"/>
      <c r="AD7" s="228"/>
      <c r="AE7" s="228"/>
      <c r="AF7" s="255">
        <f t="shared" ref="AF7:AF12" si="0">+SUMPRODUCT($D$6:$AE$6,D7:AE7)</f>
        <v>0</v>
      </c>
    </row>
    <row r="8" spans="2:32" ht="45">
      <c r="B8" s="230">
        <v>2200</v>
      </c>
      <c r="C8" s="233" t="s">
        <v>329</v>
      </c>
      <c r="D8" s="256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2"/>
      <c r="AA8" s="212"/>
      <c r="AB8" s="212"/>
      <c r="AC8" s="212"/>
      <c r="AD8" s="212"/>
      <c r="AE8" s="212"/>
      <c r="AF8" s="257">
        <f t="shared" si="0"/>
        <v>0</v>
      </c>
    </row>
    <row r="9" spans="2:32">
      <c r="B9" s="230">
        <v>2300</v>
      </c>
      <c r="C9" s="233" t="s">
        <v>330</v>
      </c>
      <c r="D9" s="258">
        <v>0</v>
      </c>
      <c r="E9" s="246">
        <v>0</v>
      </c>
      <c r="F9" s="246">
        <v>0</v>
      </c>
      <c r="G9" s="246">
        <v>0</v>
      </c>
      <c r="H9" s="246">
        <v>0</v>
      </c>
      <c r="I9" s="246">
        <v>0</v>
      </c>
      <c r="J9" s="246">
        <v>0</v>
      </c>
      <c r="K9" s="246">
        <v>0</v>
      </c>
      <c r="L9" s="246">
        <v>0</v>
      </c>
      <c r="M9" s="246">
        <v>0</v>
      </c>
      <c r="N9" s="246">
        <v>0</v>
      </c>
      <c r="O9" s="246">
        <v>0</v>
      </c>
      <c r="P9" s="246">
        <v>0</v>
      </c>
      <c r="Q9" s="246">
        <v>0</v>
      </c>
      <c r="R9" s="246">
        <v>0</v>
      </c>
      <c r="S9" s="246">
        <v>0</v>
      </c>
      <c r="T9" s="246">
        <v>0</v>
      </c>
      <c r="U9" s="246">
        <v>0</v>
      </c>
      <c r="V9" s="246">
        <v>0</v>
      </c>
      <c r="W9" s="246">
        <v>1228</v>
      </c>
      <c r="X9" s="246">
        <v>2324</v>
      </c>
      <c r="Y9" s="246">
        <v>0</v>
      </c>
      <c r="Z9" s="246">
        <v>0</v>
      </c>
      <c r="AA9" s="246">
        <v>0</v>
      </c>
      <c r="AB9" s="246">
        <v>0</v>
      </c>
      <c r="AC9" s="246">
        <v>0</v>
      </c>
      <c r="AD9" s="246">
        <v>0</v>
      </c>
      <c r="AE9" s="246">
        <v>0</v>
      </c>
      <c r="AF9" s="257">
        <f t="shared" si="0"/>
        <v>293984</v>
      </c>
    </row>
    <row r="10" spans="2:32">
      <c r="B10" s="230">
        <v>2400</v>
      </c>
      <c r="C10" s="233" t="s">
        <v>331</v>
      </c>
      <c r="D10" s="25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  <c r="AD10" s="246"/>
      <c r="AE10" s="246"/>
      <c r="AF10" s="257">
        <f t="shared" si="0"/>
        <v>0</v>
      </c>
    </row>
    <row r="11" spans="2:32">
      <c r="B11" s="230">
        <v>2500</v>
      </c>
      <c r="C11" s="233" t="s">
        <v>332</v>
      </c>
      <c r="D11" s="258"/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57">
        <f t="shared" si="0"/>
        <v>0</v>
      </c>
    </row>
    <row r="12" spans="2:32" ht="15.75" thickBot="1">
      <c r="B12" s="231">
        <v>2600</v>
      </c>
      <c r="C12" s="236" t="s">
        <v>333</v>
      </c>
      <c r="D12" s="259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60">
        <f t="shared" si="0"/>
        <v>0</v>
      </c>
    </row>
    <row r="13" spans="2:32" ht="15.75" thickBot="1">
      <c r="B13" s="321" t="s">
        <v>334</v>
      </c>
      <c r="C13" s="322"/>
      <c r="D13" s="234">
        <f t="shared" ref="D13:AE13" si="1">+SUM(D7:D12)</f>
        <v>0</v>
      </c>
      <c r="E13" s="235">
        <f t="shared" si="1"/>
        <v>0</v>
      </c>
      <c r="F13" s="235">
        <f t="shared" si="1"/>
        <v>0</v>
      </c>
      <c r="G13" s="235">
        <f t="shared" si="1"/>
        <v>0</v>
      </c>
      <c r="H13" s="235">
        <f t="shared" si="1"/>
        <v>0</v>
      </c>
      <c r="I13" s="235">
        <f t="shared" si="1"/>
        <v>0</v>
      </c>
      <c r="J13" s="235">
        <f t="shared" si="1"/>
        <v>0</v>
      </c>
      <c r="K13" s="235">
        <f t="shared" si="1"/>
        <v>0</v>
      </c>
      <c r="L13" s="235">
        <f t="shared" si="1"/>
        <v>0</v>
      </c>
      <c r="M13" s="235">
        <f t="shared" si="1"/>
        <v>0</v>
      </c>
      <c r="N13" s="235">
        <f t="shared" si="1"/>
        <v>0</v>
      </c>
      <c r="O13" s="235">
        <f t="shared" si="1"/>
        <v>0</v>
      </c>
      <c r="P13" s="235">
        <f t="shared" si="1"/>
        <v>0</v>
      </c>
      <c r="Q13" s="235">
        <f t="shared" si="1"/>
        <v>0</v>
      </c>
      <c r="R13" s="235">
        <f t="shared" si="1"/>
        <v>0</v>
      </c>
      <c r="S13" s="235">
        <f t="shared" si="1"/>
        <v>0</v>
      </c>
      <c r="T13" s="235">
        <f t="shared" si="1"/>
        <v>0</v>
      </c>
      <c r="U13" s="235">
        <f t="shared" si="1"/>
        <v>0</v>
      </c>
      <c r="V13" s="235">
        <f t="shared" si="1"/>
        <v>0</v>
      </c>
      <c r="W13" s="235">
        <f t="shared" si="1"/>
        <v>1228</v>
      </c>
      <c r="X13" s="235">
        <f t="shared" si="1"/>
        <v>2324</v>
      </c>
      <c r="Y13" s="235">
        <f t="shared" si="1"/>
        <v>0</v>
      </c>
      <c r="Z13" s="235">
        <f t="shared" si="1"/>
        <v>0</v>
      </c>
      <c r="AA13" s="235">
        <f t="shared" si="1"/>
        <v>0</v>
      </c>
      <c r="AB13" s="235">
        <f t="shared" si="1"/>
        <v>0</v>
      </c>
      <c r="AC13" s="235">
        <f t="shared" si="1"/>
        <v>0</v>
      </c>
      <c r="AD13" s="235">
        <f t="shared" si="1"/>
        <v>0</v>
      </c>
      <c r="AE13" s="235">
        <f t="shared" si="1"/>
        <v>0</v>
      </c>
      <c r="AF13" s="244">
        <f>SUM(D13:AE13)</f>
        <v>3552</v>
      </c>
    </row>
    <row r="14" spans="2:32" ht="15.75" thickBot="1">
      <c r="B14" s="323" t="s">
        <v>335</v>
      </c>
      <c r="C14" s="324"/>
      <c r="D14" s="261">
        <f>+D13*D$6</f>
        <v>0</v>
      </c>
      <c r="E14" s="262">
        <f t="shared" ref="E14:AE14" si="2">+E13*E$6</f>
        <v>0</v>
      </c>
      <c r="F14" s="262">
        <f t="shared" si="2"/>
        <v>0</v>
      </c>
      <c r="G14" s="262">
        <f t="shared" si="2"/>
        <v>0</v>
      </c>
      <c r="H14" s="262">
        <f t="shared" si="2"/>
        <v>0</v>
      </c>
      <c r="I14" s="262">
        <f t="shared" si="2"/>
        <v>0</v>
      </c>
      <c r="J14" s="262">
        <f t="shared" si="2"/>
        <v>0</v>
      </c>
      <c r="K14" s="262">
        <f t="shared" si="2"/>
        <v>0</v>
      </c>
      <c r="L14" s="262">
        <f t="shared" si="2"/>
        <v>0</v>
      </c>
      <c r="M14" s="262">
        <f t="shared" si="2"/>
        <v>0</v>
      </c>
      <c r="N14" s="262">
        <f t="shared" si="2"/>
        <v>0</v>
      </c>
      <c r="O14" s="262">
        <f t="shared" si="2"/>
        <v>0</v>
      </c>
      <c r="P14" s="262">
        <f t="shared" si="2"/>
        <v>0</v>
      </c>
      <c r="Q14" s="262">
        <f t="shared" si="2"/>
        <v>0</v>
      </c>
      <c r="R14" s="262">
        <f t="shared" si="2"/>
        <v>0</v>
      </c>
      <c r="S14" s="262">
        <f t="shared" si="2"/>
        <v>0</v>
      </c>
      <c r="T14" s="262">
        <f t="shared" si="2"/>
        <v>0</v>
      </c>
      <c r="U14" s="262">
        <f t="shared" si="2"/>
        <v>0</v>
      </c>
      <c r="V14" s="262">
        <f t="shared" si="2"/>
        <v>0</v>
      </c>
      <c r="W14" s="262">
        <f t="shared" si="2"/>
        <v>108064</v>
      </c>
      <c r="X14" s="262">
        <f t="shared" si="2"/>
        <v>185920</v>
      </c>
      <c r="Y14" s="262">
        <f t="shared" si="2"/>
        <v>0</v>
      </c>
      <c r="Z14" s="262">
        <f t="shared" si="2"/>
        <v>0</v>
      </c>
      <c r="AA14" s="262">
        <f t="shared" si="2"/>
        <v>0</v>
      </c>
      <c r="AB14" s="262">
        <f t="shared" si="2"/>
        <v>0</v>
      </c>
      <c r="AC14" s="262">
        <f t="shared" si="2"/>
        <v>0</v>
      </c>
      <c r="AD14" s="262">
        <f t="shared" si="2"/>
        <v>0</v>
      </c>
      <c r="AE14" s="262">
        <f t="shared" si="2"/>
        <v>0</v>
      </c>
      <c r="AF14" s="262">
        <f>SUM(D14:AE14)</f>
        <v>293984</v>
      </c>
    </row>
  </sheetData>
  <mergeCells count="5">
    <mergeCell ref="AF3:AF6"/>
    <mergeCell ref="B3:B6"/>
    <mergeCell ref="C3:C4"/>
    <mergeCell ref="B13:C13"/>
    <mergeCell ref="B14:C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81" r:id="rId3" name="Button 1">
              <controlPr defaultSize="0" print="0" autoFill="0" autoPict="0" macro="[0]!getHonorarios">
                <anchor moveWithCells="1" sizeWithCells="1">
                  <from>
                    <xdr:col>2</xdr:col>
                    <xdr:colOff>104775</xdr:colOff>
                    <xdr:row>16</xdr:row>
                    <xdr:rowOff>9525</xdr:rowOff>
                  </from>
                  <to>
                    <xdr:col>2</xdr:col>
                    <xdr:colOff>1895475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>
    <tabColor rgb="FF92D050"/>
  </sheetPr>
  <dimension ref="B2:AB33"/>
  <sheetViews>
    <sheetView topLeftCell="M1" zoomScaleNormal="100" workbookViewId="0">
      <selection activeCell="R15" sqref="R15"/>
    </sheetView>
  </sheetViews>
  <sheetFormatPr defaultColWidth="11.42578125" defaultRowHeight="15"/>
  <cols>
    <col min="3" max="3" width="49.5703125" customWidth="1"/>
    <col min="4" max="4" width="16" customWidth="1"/>
    <col min="5" max="5" width="17.140625" customWidth="1"/>
    <col min="6" max="6" width="11.7109375" bestFit="1" customWidth="1"/>
    <col min="7" max="8" width="15.140625" customWidth="1"/>
    <col min="9" max="9" width="19.140625" customWidth="1"/>
    <col min="10" max="10" width="17" customWidth="1"/>
    <col min="11" max="11" width="14" customWidth="1"/>
    <col min="12" max="12" width="16.5703125" customWidth="1"/>
    <col min="13" max="13" width="15.5703125" customWidth="1"/>
    <col min="14" max="14" width="17.28515625" customWidth="1"/>
    <col min="15" max="15" width="16" customWidth="1"/>
    <col min="16" max="17" width="14.85546875" customWidth="1"/>
    <col min="18" max="18" width="13.85546875" customWidth="1"/>
    <col min="19" max="19" width="14.7109375" customWidth="1"/>
    <col min="20" max="20" width="16.42578125" customWidth="1"/>
    <col min="21" max="21" width="12" bestFit="1" customWidth="1"/>
    <col min="22" max="22" width="17.140625" customWidth="1"/>
    <col min="23" max="25" width="11.7109375" bestFit="1" customWidth="1"/>
    <col min="26" max="26" width="13.5703125" bestFit="1" customWidth="1"/>
    <col min="27" max="27" width="14.28515625" customWidth="1"/>
    <col min="28" max="28" width="17.28515625" customWidth="1"/>
  </cols>
  <sheetData>
    <row r="2" spans="2:28" ht="79.5" customHeight="1">
      <c r="D2" s="122" t="s">
        <v>336</v>
      </c>
      <c r="E2" s="122" t="s">
        <v>91</v>
      </c>
      <c r="F2" s="122" t="s">
        <v>89</v>
      </c>
      <c r="G2" s="122" t="s">
        <v>96</v>
      </c>
      <c r="H2" s="122" t="s">
        <v>99</v>
      </c>
      <c r="I2" s="122" t="s">
        <v>101</v>
      </c>
      <c r="J2" s="122" t="s">
        <v>102</v>
      </c>
      <c r="K2" s="122" t="s">
        <v>103</v>
      </c>
      <c r="L2" s="122" t="s">
        <v>104</v>
      </c>
      <c r="M2" s="122" t="s">
        <v>107</v>
      </c>
      <c r="N2" s="122" t="s">
        <v>108</v>
      </c>
      <c r="O2" s="122" t="s">
        <v>337</v>
      </c>
      <c r="P2" s="122" t="s">
        <v>111</v>
      </c>
      <c r="Q2" s="122" t="s">
        <v>112</v>
      </c>
      <c r="R2" s="122" t="s">
        <v>113</v>
      </c>
      <c r="S2" s="122" t="s">
        <v>115</v>
      </c>
      <c r="T2" s="122" t="s">
        <v>116</v>
      </c>
      <c r="U2" s="122" t="s">
        <v>117</v>
      </c>
      <c r="V2" s="122" t="s">
        <v>118</v>
      </c>
      <c r="W2" s="122" t="s">
        <v>119</v>
      </c>
      <c r="X2" s="122" t="s">
        <v>120</v>
      </c>
      <c r="Y2" s="122" t="s">
        <v>121</v>
      </c>
      <c r="Z2" s="122" t="s">
        <v>122</v>
      </c>
      <c r="AA2" s="122" t="s">
        <v>123</v>
      </c>
    </row>
    <row r="3" spans="2:28" ht="30">
      <c r="D3" s="122" t="s">
        <v>90</v>
      </c>
      <c r="E3" s="122" t="s">
        <v>92</v>
      </c>
      <c r="F3" s="122" t="s">
        <v>95</v>
      </c>
      <c r="G3" s="122" t="s">
        <v>97</v>
      </c>
      <c r="H3" s="122" t="s">
        <v>100</v>
      </c>
      <c r="I3" s="122" t="s">
        <v>100</v>
      </c>
      <c r="J3" s="122" t="s">
        <v>100</v>
      </c>
      <c r="K3" s="122" t="s">
        <v>100</v>
      </c>
      <c r="L3" s="122" t="s">
        <v>105</v>
      </c>
      <c r="M3" s="122" t="s">
        <v>100</v>
      </c>
      <c r="N3" s="122" t="s">
        <v>109</v>
      </c>
      <c r="O3" s="122" t="s">
        <v>109</v>
      </c>
      <c r="P3" s="122" t="s">
        <v>105</v>
      </c>
      <c r="Q3" s="122" t="s">
        <v>105</v>
      </c>
      <c r="R3" s="122" t="s">
        <v>114</v>
      </c>
      <c r="S3" s="122" t="s">
        <v>105</v>
      </c>
      <c r="T3" s="122" t="s">
        <v>105</v>
      </c>
      <c r="U3" s="122" t="s">
        <v>114</v>
      </c>
      <c r="V3" s="122" t="s">
        <v>109</v>
      </c>
      <c r="W3" s="122" t="s">
        <v>105</v>
      </c>
      <c r="X3" s="122" t="s">
        <v>105</v>
      </c>
      <c r="Y3" s="122" t="s">
        <v>114</v>
      </c>
      <c r="Z3" s="122" t="s">
        <v>114</v>
      </c>
      <c r="AA3" s="122" t="s">
        <v>100</v>
      </c>
    </row>
    <row r="4" spans="2:28">
      <c r="B4" s="122"/>
      <c r="C4" s="122" t="s">
        <v>338</v>
      </c>
      <c r="D4" s="249">
        <v>3.5</v>
      </c>
      <c r="E4" s="249">
        <f>Reembolsables!H5</f>
        <v>0</v>
      </c>
      <c r="F4" s="249">
        <v>8</v>
      </c>
      <c r="G4" s="249">
        <f>Reembolsables!H7</f>
        <v>400</v>
      </c>
      <c r="H4" s="249">
        <f>Reembolsables!H8</f>
        <v>30</v>
      </c>
      <c r="I4" s="249">
        <f>Reembolsables!H9</f>
        <v>100</v>
      </c>
      <c r="J4" s="249">
        <f>Reembolsables!H10</f>
        <v>90</v>
      </c>
      <c r="K4" s="249">
        <f>Reembolsables!H11</f>
        <v>70</v>
      </c>
      <c r="L4" s="249">
        <f>Reembolsables!H12</f>
        <v>10</v>
      </c>
      <c r="M4" s="249">
        <f>Reembolsables!H13</f>
        <v>100</v>
      </c>
      <c r="N4" s="249">
        <f>Reembolsables!H14</f>
        <v>305</v>
      </c>
      <c r="O4" s="249">
        <f>Reembolsables!H15</f>
        <v>445</v>
      </c>
      <c r="P4" s="249">
        <f>Reembolsables!H16</f>
        <v>0</v>
      </c>
      <c r="Q4" s="249">
        <f>Reembolsables!H17</f>
        <v>0</v>
      </c>
      <c r="R4" s="249">
        <f>Reembolsables!H18</f>
        <v>3200</v>
      </c>
      <c r="S4" s="249">
        <f>Reembolsables!H19</f>
        <v>0</v>
      </c>
      <c r="T4" s="249">
        <f>Reembolsables!H20</f>
        <v>0</v>
      </c>
      <c r="U4" s="249">
        <f>Reembolsables!H21</f>
        <v>180</v>
      </c>
      <c r="V4" s="249">
        <f>Reembolsables!H22</f>
        <v>120</v>
      </c>
      <c r="W4" s="249">
        <f>Reembolsables!H23</f>
        <v>0</v>
      </c>
      <c r="X4" s="249">
        <f>Reembolsables!H24</f>
        <v>0</v>
      </c>
      <c r="Y4" s="249">
        <f>Reembolsables!H25</f>
        <v>250</v>
      </c>
      <c r="Z4" s="249">
        <f>Reembolsables!H26</f>
        <v>6000</v>
      </c>
      <c r="AA4" s="249">
        <f>Reembolsables!H27</f>
        <v>400</v>
      </c>
      <c r="AB4" s="122" t="s">
        <v>228</v>
      </c>
    </row>
    <row r="5" spans="2:28" ht="15.75" hidden="1" customHeight="1">
      <c r="B5" s="212">
        <v>2000</v>
      </c>
      <c r="C5" s="212" t="s">
        <v>339</v>
      </c>
      <c r="D5" s="212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249">
        <f>D$4*D5+E$4*E5+F$4*F5+G$4*G5+H$4*H5+I$4*I5+J$4*J5+K$4*K5+L$4*L5+M$4*M5+N$4*N5+O$4*O5+P$4*P5+Q$4*Q5+R$4*R5+S$4*S5+T$4*T5+U$4*U5+V$4*V5+W$4*W5+X$4*X5+Y$4*Y5+Z$4*Z5+AA$4*AA5</f>
        <v>0</v>
      </c>
    </row>
    <row r="6" spans="2:28" ht="15.75" customHeight="1">
      <c r="B6" s="212">
        <v>2100</v>
      </c>
      <c r="C6" s="212" t="s">
        <v>340</v>
      </c>
      <c r="D6" s="212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249">
        <f t="shared" ref="AB6:AB11" si="0">D$4*D6+E$4*E6+F$4*F6+G$4*G6+H$4*H6+I$4*I6+J$4*J6+K$4*K6+L$4*L6+M$4*M6+N$4*N6+O$4*O6+P$4*P6+Q$4*Q6+R$4*R6+S$4*S6+T$4*T6+U$4*U6+V$4*V6+W$4*W6+X$4*X6+Y$4*Y6+Z$4*Z6+AA$4*AA6</f>
        <v>0</v>
      </c>
    </row>
    <row r="7" spans="2:28" ht="15.75" customHeight="1">
      <c r="B7" s="212">
        <v>2200</v>
      </c>
      <c r="C7" s="212" t="s">
        <v>341</v>
      </c>
      <c r="D7" s="212"/>
      <c r="E7" s="135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249">
        <f t="shared" si="0"/>
        <v>0</v>
      </c>
    </row>
    <row r="8" spans="2:28" ht="15.75" customHeight="1">
      <c r="B8" s="212">
        <v>2300</v>
      </c>
      <c r="C8" s="212" t="s">
        <v>330</v>
      </c>
      <c r="D8" s="212">
        <v>4448</v>
      </c>
      <c r="E8" s="135"/>
      <c r="F8" s="135"/>
      <c r="G8" s="135">
        <v>6</v>
      </c>
      <c r="H8" s="135">
        <v>6</v>
      </c>
      <c r="I8" s="135">
        <v>6</v>
      </c>
      <c r="J8" s="135">
        <v>6</v>
      </c>
      <c r="K8" s="135">
        <v>6</v>
      </c>
      <c r="L8" s="135"/>
      <c r="M8" s="135">
        <v>6</v>
      </c>
      <c r="N8" s="135"/>
      <c r="O8" s="135"/>
      <c r="P8" s="135"/>
      <c r="Q8" s="135"/>
      <c r="R8" s="135"/>
      <c r="S8" s="135">
        <v>500</v>
      </c>
      <c r="T8" s="135">
        <v>500</v>
      </c>
      <c r="U8" s="135"/>
      <c r="V8" s="135"/>
      <c r="W8" s="135"/>
      <c r="X8" s="135"/>
      <c r="Y8" s="135"/>
      <c r="Z8" s="135"/>
      <c r="AA8" s="135"/>
      <c r="AB8" s="249">
        <f t="shared" si="0"/>
        <v>20308</v>
      </c>
    </row>
    <row r="9" spans="2:28" ht="15.75" customHeight="1">
      <c r="B9" s="212">
        <v>2400</v>
      </c>
      <c r="C9" s="212" t="s">
        <v>331</v>
      </c>
      <c r="D9" s="212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249">
        <f t="shared" si="0"/>
        <v>0</v>
      </c>
    </row>
    <row r="10" spans="2:28" ht="15.75" customHeight="1">
      <c r="B10" s="212">
        <v>2500</v>
      </c>
      <c r="C10" s="212" t="s">
        <v>332</v>
      </c>
      <c r="D10" s="212">
        <v>276</v>
      </c>
      <c r="E10" s="135"/>
      <c r="F10" s="135"/>
      <c r="G10" s="135">
        <v>2</v>
      </c>
      <c r="H10" s="135">
        <v>2</v>
      </c>
      <c r="I10" s="135">
        <v>2</v>
      </c>
      <c r="J10" s="135">
        <v>2</v>
      </c>
      <c r="K10" s="135">
        <v>2</v>
      </c>
      <c r="L10" s="135"/>
      <c r="M10" s="135">
        <v>2</v>
      </c>
      <c r="N10" s="135"/>
      <c r="O10" s="135"/>
      <c r="P10" s="135"/>
      <c r="Q10" s="135"/>
      <c r="R10" s="135"/>
      <c r="S10" s="135">
        <v>538</v>
      </c>
      <c r="T10" s="135">
        <v>538</v>
      </c>
      <c r="U10" s="135"/>
      <c r="V10" s="135"/>
      <c r="W10" s="135"/>
      <c r="X10" s="135"/>
      <c r="Y10" s="135"/>
      <c r="Z10" s="135"/>
      <c r="AA10" s="135"/>
      <c r="AB10" s="249">
        <f t="shared" si="0"/>
        <v>2546</v>
      </c>
    </row>
    <row r="11" spans="2:28">
      <c r="B11" s="212">
        <v>2600</v>
      </c>
      <c r="C11" s="212" t="s">
        <v>333</v>
      </c>
      <c r="D11" s="248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249">
        <f t="shared" si="0"/>
        <v>0</v>
      </c>
    </row>
    <row r="12" spans="2:28">
      <c r="C12" s="212" t="s">
        <v>342</v>
      </c>
      <c r="D12" s="250">
        <f>SUM(D5:D11)*D4</f>
        <v>16534</v>
      </c>
      <c r="E12" s="251">
        <f t="shared" ref="E12:AA12" si="1">SUM(E5:E11)*E4</f>
        <v>0</v>
      </c>
      <c r="F12" s="251">
        <f t="shared" si="1"/>
        <v>0</v>
      </c>
      <c r="G12" s="251">
        <f t="shared" si="1"/>
        <v>3200</v>
      </c>
      <c r="H12" s="251">
        <f t="shared" si="1"/>
        <v>240</v>
      </c>
      <c r="I12" s="251">
        <f t="shared" si="1"/>
        <v>800</v>
      </c>
      <c r="J12" s="251">
        <f t="shared" si="1"/>
        <v>720</v>
      </c>
      <c r="K12" s="251">
        <f t="shared" si="1"/>
        <v>560</v>
      </c>
      <c r="L12" s="251">
        <f t="shared" si="1"/>
        <v>0</v>
      </c>
      <c r="M12" s="251">
        <f t="shared" si="1"/>
        <v>800</v>
      </c>
      <c r="N12" s="251">
        <f t="shared" si="1"/>
        <v>0</v>
      </c>
      <c r="O12" s="251">
        <f t="shared" si="1"/>
        <v>0</v>
      </c>
      <c r="P12" s="251">
        <f t="shared" si="1"/>
        <v>0</v>
      </c>
      <c r="Q12" s="251">
        <f t="shared" si="1"/>
        <v>0</v>
      </c>
      <c r="R12" s="251">
        <f t="shared" si="1"/>
        <v>0</v>
      </c>
      <c r="S12" s="251">
        <f t="shared" si="1"/>
        <v>0</v>
      </c>
      <c r="T12" s="251">
        <f t="shared" si="1"/>
        <v>0</v>
      </c>
      <c r="U12" s="251">
        <f t="shared" si="1"/>
        <v>0</v>
      </c>
      <c r="V12" s="251">
        <f t="shared" si="1"/>
        <v>0</v>
      </c>
      <c r="W12" s="251">
        <f t="shared" si="1"/>
        <v>0</v>
      </c>
      <c r="X12" s="251">
        <f t="shared" si="1"/>
        <v>0</v>
      </c>
      <c r="Y12" s="251">
        <f t="shared" si="1"/>
        <v>0</v>
      </c>
      <c r="Z12" s="251">
        <f t="shared" si="1"/>
        <v>0</v>
      </c>
      <c r="AA12" s="251">
        <f t="shared" si="1"/>
        <v>0</v>
      </c>
      <c r="AB12" s="251">
        <f>SUM(AB5:AB11)</f>
        <v>22854</v>
      </c>
    </row>
    <row r="20" spans="3:4">
      <c r="C20" s="136" t="s">
        <v>240</v>
      </c>
    </row>
    <row r="22" spans="3:4">
      <c r="C22" s="69" t="s">
        <v>343</v>
      </c>
      <c r="D22" s="69"/>
    </row>
    <row r="23" spans="3:4">
      <c r="C23" s="69" t="s">
        <v>344</v>
      </c>
      <c r="D23" s="69"/>
    </row>
    <row r="24" spans="3:4">
      <c r="C24" s="69" t="s">
        <v>345</v>
      </c>
      <c r="D24" s="69"/>
    </row>
    <row r="25" spans="3:4">
      <c r="C25" s="69" t="s">
        <v>346</v>
      </c>
      <c r="D25" s="69"/>
    </row>
    <row r="26" spans="3:4">
      <c r="C26" s="69"/>
      <c r="D26" s="69"/>
    </row>
    <row r="27" spans="3:4">
      <c r="C27" s="69"/>
    </row>
    <row r="28" spans="3:4">
      <c r="C28" s="69"/>
      <c r="D28" s="2"/>
    </row>
    <row r="29" spans="3:4">
      <c r="C29" s="69"/>
    </row>
    <row r="31" spans="3:4">
      <c r="D31" s="211"/>
    </row>
    <row r="32" spans="3:4">
      <c r="D32" s="211"/>
    </row>
    <row r="33" spans="4:4">
      <c r="D33" s="2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3" name="Button 1">
              <controlPr defaultSize="0" print="0" autoFill="0" autoPict="0" macro="[0]!GetSummaryVals">
                <anchor moveWithCells="1" sizeWithCells="1">
                  <from>
                    <xdr:col>2</xdr:col>
                    <xdr:colOff>228600</xdr:colOff>
                    <xdr:row>13</xdr:row>
                    <xdr:rowOff>28575</xdr:rowOff>
                  </from>
                  <to>
                    <xdr:col>2</xdr:col>
                    <xdr:colOff>2933700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92D050"/>
  </sheetPr>
  <dimension ref="B3:F12"/>
  <sheetViews>
    <sheetView zoomScale="85" zoomScaleNormal="85" workbookViewId="0">
      <selection activeCell="A29" sqref="A29"/>
    </sheetView>
  </sheetViews>
  <sheetFormatPr defaultColWidth="11.42578125" defaultRowHeight="15"/>
  <cols>
    <col min="2" max="2" width="9" customWidth="1"/>
    <col min="3" max="3" width="53.140625" customWidth="1"/>
    <col min="4" max="6" width="16.85546875" customWidth="1"/>
  </cols>
  <sheetData>
    <row r="3" spans="2:6" ht="15" customHeight="1">
      <c r="B3" s="298" t="s">
        <v>308</v>
      </c>
      <c r="C3" s="298" t="s">
        <v>309</v>
      </c>
      <c r="D3" s="298" t="s">
        <v>347</v>
      </c>
      <c r="E3" s="298" t="s">
        <v>348</v>
      </c>
      <c r="F3" s="298" t="s">
        <v>228</v>
      </c>
    </row>
    <row r="4" spans="2:6" ht="15.75" thickBot="1">
      <c r="B4" s="299"/>
      <c r="C4" s="307"/>
      <c r="D4" s="299"/>
      <c r="E4" s="299"/>
      <c r="F4" s="299"/>
    </row>
    <row r="5" spans="2:6" ht="45">
      <c r="B5" s="229">
        <v>210</v>
      </c>
      <c r="C5" s="232" t="s">
        <v>328</v>
      </c>
      <c r="D5" s="253">
        <f>+'Tabla de costos - HH'!AF7</f>
        <v>0</v>
      </c>
      <c r="E5" s="253">
        <f>'Tabla de costos - Disbursements'!AB6</f>
        <v>0</v>
      </c>
      <c r="F5" s="253">
        <f>+D5+E5</f>
        <v>0</v>
      </c>
    </row>
    <row r="6" spans="2:6" ht="45">
      <c r="B6" s="230">
        <v>220</v>
      </c>
      <c r="C6" s="233" t="s">
        <v>329</v>
      </c>
      <c r="D6" s="245">
        <f>+'Tabla de costos - HH'!AF8</f>
        <v>0</v>
      </c>
      <c r="E6" s="245">
        <f>'Tabla de costos - Disbursements'!AB7</f>
        <v>0</v>
      </c>
      <c r="F6" s="245">
        <f t="shared" ref="F6:F10" si="0">+D6+E6</f>
        <v>0</v>
      </c>
    </row>
    <row r="7" spans="2:6">
      <c r="B7" s="230">
        <v>2300</v>
      </c>
      <c r="C7" s="233" t="s">
        <v>330</v>
      </c>
      <c r="D7" s="245">
        <f>+'Tabla de costos - HH'!AF9</f>
        <v>293984</v>
      </c>
      <c r="E7" s="245">
        <f>'Tabla de costos - Disbursements'!AB8</f>
        <v>20308</v>
      </c>
      <c r="F7" s="245">
        <f t="shared" si="0"/>
        <v>314292</v>
      </c>
    </row>
    <row r="8" spans="2:6">
      <c r="B8" s="230">
        <v>2400</v>
      </c>
      <c r="C8" s="233" t="s">
        <v>331</v>
      </c>
      <c r="D8" s="245">
        <f>+'Tabla de costos - HH'!AF10</f>
        <v>0</v>
      </c>
      <c r="E8" s="245">
        <f>'Tabla de costos - Disbursements'!AB9</f>
        <v>0</v>
      </c>
      <c r="F8" s="245">
        <f t="shared" si="0"/>
        <v>0</v>
      </c>
    </row>
    <row r="9" spans="2:6">
      <c r="B9" s="230">
        <v>2500</v>
      </c>
      <c r="C9" s="233" t="s">
        <v>332</v>
      </c>
      <c r="D9" s="245">
        <f>+'Tabla de costos - HH'!AF11</f>
        <v>0</v>
      </c>
      <c r="E9" s="245">
        <f>'Tabla de costos - Disbursements'!AB10</f>
        <v>2546</v>
      </c>
      <c r="F9" s="245">
        <f t="shared" si="0"/>
        <v>2546</v>
      </c>
    </row>
    <row r="10" spans="2:6" ht="15.75" thickBot="1">
      <c r="B10" s="263">
        <v>2600</v>
      </c>
      <c r="C10" s="264" t="s">
        <v>333</v>
      </c>
      <c r="D10" s="265">
        <f>+'Tabla de costos - HH'!AF12</f>
        <v>0</v>
      </c>
      <c r="E10" s="265">
        <f>'Tabla de costos - Disbursements'!AB11</f>
        <v>0</v>
      </c>
      <c r="F10" s="265">
        <f t="shared" si="0"/>
        <v>0</v>
      </c>
    </row>
    <row r="11" spans="2:6" ht="15.75" thickBot="1">
      <c r="B11" s="325" t="s">
        <v>334</v>
      </c>
      <c r="C11" s="326"/>
      <c r="D11" s="267">
        <f>+SUM(D5:D10)</f>
        <v>293984</v>
      </c>
      <c r="E11" s="267">
        <f t="shared" ref="E11:F11" si="1">+SUM(E5:E10)</f>
        <v>22854</v>
      </c>
      <c r="F11" s="267">
        <f t="shared" si="1"/>
        <v>316838</v>
      </c>
    </row>
    <row r="12" spans="2:6" ht="15.75" hidden="1" thickBot="1">
      <c r="B12" s="327" t="s">
        <v>335</v>
      </c>
      <c r="C12" s="328"/>
      <c r="D12" s="266"/>
      <c r="E12" s="266"/>
      <c r="F12" s="266"/>
    </row>
  </sheetData>
  <mergeCells count="7">
    <mergeCell ref="B3:B4"/>
    <mergeCell ref="C3:C4"/>
    <mergeCell ref="B11:C11"/>
    <mergeCell ref="B12:C12"/>
    <mergeCell ref="F3:F4"/>
    <mergeCell ref="E3:E4"/>
    <mergeCell ref="D3:D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AFA08-5A16-46FC-9D35-4D42BC927463}">
  <sheetPr codeName="Hoja131">
    <tabColor theme="6" tint="0.59999389629810485"/>
  </sheetPr>
  <dimension ref="B1:SN193"/>
  <sheetViews>
    <sheetView topLeftCell="A7" zoomScale="115" zoomScaleNormal="115" workbookViewId="0">
      <selection activeCell="Q5" sqref="Q5"/>
    </sheetView>
  </sheetViews>
  <sheetFormatPr defaultColWidth="11.42578125" defaultRowHeight="15"/>
  <cols>
    <col min="6" max="6" width="14.85546875" customWidth="1"/>
    <col min="7" max="420" width="5.7109375" style="110" customWidth="1"/>
  </cols>
  <sheetData>
    <row r="1" spans="2:508" ht="84" customHeight="1">
      <c r="C1" s="109"/>
      <c r="D1" s="109">
        <v>1</v>
      </c>
      <c r="E1" s="237">
        <v>1</v>
      </c>
      <c r="G1" s="238">
        <f>MIN(E5:E7)-5</f>
        <v>45408</v>
      </c>
      <c r="H1" s="238">
        <f>G1+1</f>
        <v>45409</v>
      </c>
      <c r="I1" s="238">
        <f t="shared" ref="I1:T1" si="0">H1+1</f>
        <v>45410</v>
      </c>
      <c r="J1" s="238">
        <f t="shared" si="0"/>
        <v>45411</v>
      </c>
      <c r="K1" s="238">
        <f t="shared" si="0"/>
        <v>45412</v>
      </c>
      <c r="L1" s="238">
        <f t="shared" si="0"/>
        <v>45413</v>
      </c>
      <c r="M1" s="238">
        <f t="shared" si="0"/>
        <v>45414</v>
      </c>
      <c r="N1" s="238">
        <f t="shared" si="0"/>
        <v>45415</v>
      </c>
      <c r="O1" s="238">
        <f t="shared" si="0"/>
        <v>45416</v>
      </c>
      <c r="P1" s="238">
        <f t="shared" si="0"/>
        <v>45417</v>
      </c>
      <c r="Q1" s="238">
        <f t="shared" si="0"/>
        <v>45418</v>
      </c>
      <c r="R1" s="238">
        <f t="shared" si="0"/>
        <v>45419</v>
      </c>
      <c r="S1" s="238">
        <f t="shared" si="0"/>
        <v>45420</v>
      </c>
      <c r="T1" s="238">
        <f t="shared" si="0"/>
        <v>45421</v>
      </c>
    </row>
    <row r="2" spans="2:508" ht="24.75" customHeight="1">
      <c r="B2" s="123" t="s">
        <v>219</v>
      </c>
      <c r="C2" s="109">
        <v>1</v>
      </c>
      <c r="D2" s="109"/>
      <c r="E2" s="237">
        <f>'Inicio MOD'!$M$14</f>
        <v>0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</row>
    <row r="3" spans="2:508" ht="24.75" customHeight="1"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239"/>
      <c r="AM3" s="239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39"/>
      <c r="BE3" s="239"/>
      <c r="BF3" s="239"/>
      <c r="BG3" s="239"/>
      <c r="BH3" s="239"/>
      <c r="BI3" s="239"/>
      <c r="BJ3" s="239"/>
      <c r="BK3" s="239"/>
      <c r="BL3" s="239"/>
      <c r="BM3" s="239"/>
      <c r="BN3" s="239"/>
      <c r="BO3" s="239"/>
      <c r="BP3" s="239"/>
      <c r="BQ3" s="239"/>
      <c r="BR3" s="239"/>
      <c r="BS3" s="239"/>
    </row>
    <row r="4" spans="2:508" s="110" customFormat="1" ht="84" customHeight="1">
      <c r="B4" s="171" t="s">
        <v>221</v>
      </c>
      <c r="C4" s="171" t="s">
        <v>27</v>
      </c>
      <c r="D4" s="171" t="s">
        <v>222</v>
      </c>
      <c r="E4" s="172" t="s">
        <v>223</v>
      </c>
      <c r="F4" s="172" t="s">
        <v>224</v>
      </c>
      <c r="G4" s="240"/>
      <c r="H4" s="241"/>
      <c r="I4" s="241"/>
      <c r="J4" s="241"/>
      <c r="K4" s="242"/>
      <c r="L4" s="242"/>
      <c r="M4" s="242"/>
      <c r="N4" s="242"/>
      <c r="O4" s="242"/>
      <c r="P4" s="242"/>
      <c r="Q4" s="242"/>
      <c r="R4" s="242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</row>
    <row r="5" spans="2:508">
      <c r="B5" s="135"/>
      <c r="C5" s="135" t="s">
        <v>171</v>
      </c>
      <c r="D5" s="135" t="s">
        <v>7</v>
      </c>
      <c r="E5" s="268">
        <v>45413</v>
      </c>
      <c r="F5" s="147">
        <v>10</v>
      </c>
      <c r="G5" s="64" t="s">
        <v>1</v>
      </c>
      <c r="H5" s="64" t="s">
        <v>1</v>
      </c>
      <c r="I5" s="64" t="s">
        <v>201</v>
      </c>
      <c r="J5" s="64" t="s">
        <v>349</v>
      </c>
      <c r="K5" s="64" t="s">
        <v>349</v>
      </c>
      <c r="L5" s="64" t="s">
        <v>20</v>
      </c>
      <c r="M5" s="64" t="s">
        <v>20</v>
      </c>
      <c r="N5" s="64" t="s">
        <v>20</v>
      </c>
      <c r="O5" s="64" t="s">
        <v>20</v>
      </c>
      <c r="P5" s="64" t="s">
        <v>20</v>
      </c>
      <c r="Q5" s="64" t="s">
        <v>20</v>
      </c>
      <c r="R5" s="64" t="s">
        <v>20</v>
      </c>
      <c r="S5" s="64" t="s">
        <v>20</v>
      </c>
      <c r="T5" s="64" t="s">
        <v>8</v>
      </c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  <c r="KT5" s="64"/>
      <c r="KU5" s="64"/>
      <c r="KV5" s="64"/>
      <c r="KW5" s="64"/>
      <c r="KX5" s="64"/>
      <c r="KY5" s="64"/>
      <c r="KZ5" s="64"/>
      <c r="LA5" s="64"/>
      <c r="LB5" s="64"/>
      <c r="LC5" s="64"/>
      <c r="LD5" s="64"/>
      <c r="LE5" s="64"/>
      <c r="LF5" s="64"/>
      <c r="LG5" s="64"/>
      <c r="LH5" s="64"/>
      <c r="LI5" s="64"/>
      <c r="LJ5" s="64"/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64"/>
      <c r="MJ5" s="64"/>
      <c r="MK5" s="64"/>
      <c r="ML5" s="64"/>
      <c r="MM5" s="64"/>
      <c r="MN5" s="64"/>
      <c r="MO5" s="64"/>
      <c r="MP5" s="64"/>
      <c r="MQ5" s="64"/>
      <c r="MR5" s="64"/>
      <c r="MS5" s="64"/>
      <c r="MT5" s="64"/>
      <c r="MU5" s="64"/>
      <c r="MV5" s="64"/>
      <c r="MW5" s="64"/>
      <c r="MX5" s="64"/>
      <c r="MY5" s="64"/>
      <c r="MZ5" s="64"/>
      <c r="NA5" s="64"/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64"/>
      <c r="OR5" s="64"/>
      <c r="OS5" s="64"/>
      <c r="OT5" s="64"/>
      <c r="OU5" s="64"/>
      <c r="OV5" s="64"/>
      <c r="OW5" s="64"/>
      <c r="OX5" s="64"/>
      <c r="OY5" s="64"/>
      <c r="OZ5" s="64"/>
      <c r="PA5" s="64"/>
      <c r="PB5" s="64"/>
      <c r="PC5" s="64"/>
      <c r="PD5" s="64"/>
      <c r="PE5" s="64"/>
      <c r="PF5" s="64"/>
      <c r="PG5" s="64"/>
      <c r="PH5" s="64"/>
      <c r="PI5" s="64"/>
      <c r="PJ5" s="64"/>
      <c r="PK5" s="64"/>
      <c r="PL5" s="64"/>
      <c r="PM5" s="64"/>
      <c r="PN5" s="64"/>
      <c r="PO5" s="64"/>
      <c r="PP5" s="64"/>
      <c r="PQ5" s="64"/>
      <c r="PR5" s="64"/>
      <c r="PS5" s="64"/>
      <c r="PT5" s="64"/>
      <c r="PU5" s="64"/>
      <c r="PV5" s="64"/>
      <c r="PW5" s="64"/>
      <c r="PX5" s="64"/>
      <c r="PY5" s="64"/>
      <c r="PZ5" s="64"/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64"/>
      <c r="QZ5" s="64"/>
      <c r="RA5" s="64"/>
      <c r="RB5" s="64"/>
      <c r="RC5" s="64"/>
      <c r="RD5" s="64"/>
      <c r="RE5" s="64"/>
      <c r="RF5" s="64"/>
      <c r="RG5" s="64"/>
      <c r="RH5" s="64"/>
      <c r="RI5" s="64"/>
      <c r="RJ5" s="64"/>
      <c r="RK5" s="64"/>
      <c r="RL5" s="64"/>
      <c r="RM5" s="64"/>
      <c r="RN5" s="64"/>
      <c r="RO5" s="64"/>
      <c r="RP5" s="64"/>
      <c r="RQ5" s="64"/>
      <c r="RR5" s="64"/>
      <c r="RS5" s="64"/>
      <c r="RT5" s="64"/>
      <c r="RU5" s="64"/>
      <c r="RV5" s="64"/>
      <c r="RW5" s="64"/>
      <c r="RX5" s="64"/>
      <c r="RY5" s="64"/>
      <c r="RZ5" s="64"/>
      <c r="SA5" s="64"/>
      <c r="SB5" s="64"/>
      <c r="SC5" s="64"/>
      <c r="SD5" s="64"/>
      <c r="SE5" s="64"/>
      <c r="SF5" s="64"/>
      <c r="SG5" s="64"/>
      <c r="SH5" s="64"/>
      <c r="SI5" s="64"/>
      <c r="SJ5" s="64"/>
      <c r="SK5" s="64"/>
      <c r="SL5" s="64"/>
      <c r="SM5" s="64"/>
      <c r="SN5" s="64"/>
    </row>
    <row r="6" spans="2:508">
      <c r="B6" s="269"/>
      <c r="C6" s="269"/>
      <c r="D6" s="269"/>
      <c r="E6" s="270"/>
      <c r="F6" s="271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</row>
    <row r="7" spans="2:508">
      <c r="B7" s="269"/>
      <c r="C7" s="269"/>
      <c r="D7" s="269"/>
      <c r="E7" s="272"/>
      <c r="F7" s="273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  <c r="KT7" s="64"/>
      <c r="KU7" s="64"/>
      <c r="KV7" s="64"/>
      <c r="KW7" s="64"/>
      <c r="KX7" s="64"/>
      <c r="KY7" s="64"/>
      <c r="KZ7" s="64"/>
      <c r="LA7" s="64"/>
      <c r="LB7" s="64"/>
      <c r="LC7" s="64"/>
      <c r="LD7" s="64"/>
      <c r="LE7" s="64"/>
      <c r="LF7" s="64"/>
      <c r="LG7" s="64"/>
      <c r="LH7" s="64"/>
      <c r="LI7" s="64"/>
      <c r="LJ7" s="64"/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64"/>
      <c r="MJ7" s="64"/>
      <c r="MK7" s="64"/>
      <c r="ML7" s="64"/>
      <c r="MM7" s="64"/>
      <c r="MN7" s="64"/>
      <c r="MO7" s="64"/>
      <c r="MP7" s="64"/>
      <c r="MQ7" s="64"/>
      <c r="MR7" s="64"/>
      <c r="MS7" s="64"/>
      <c r="MT7" s="64"/>
      <c r="MU7" s="64"/>
      <c r="MV7" s="64"/>
      <c r="MW7" s="64"/>
      <c r="MX7" s="64"/>
      <c r="MY7" s="64"/>
      <c r="MZ7" s="64"/>
      <c r="NA7" s="64"/>
      <c r="NB7" s="64"/>
      <c r="NC7" s="64"/>
      <c r="ND7" s="64"/>
      <c r="NE7" s="64"/>
      <c r="NF7" s="64"/>
      <c r="NG7" s="64"/>
      <c r="NH7" s="64"/>
      <c r="NI7" s="64"/>
      <c r="NJ7" s="64"/>
      <c r="NK7" s="64"/>
      <c r="NL7" s="64"/>
      <c r="NM7" s="64"/>
      <c r="NN7" s="64"/>
      <c r="NO7" s="64"/>
      <c r="NP7" s="64"/>
      <c r="NQ7" s="64"/>
      <c r="NR7" s="64"/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64"/>
      <c r="OR7" s="64"/>
      <c r="OS7" s="64"/>
      <c r="OT7" s="64"/>
      <c r="OU7" s="64"/>
      <c r="OV7" s="64"/>
      <c r="OW7" s="64"/>
      <c r="OX7" s="64"/>
      <c r="OY7" s="64"/>
      <c r="OZ7" s="64"/>
      <c r="PA7" s="64"/>
      <c r="PB7" s="64"/>
      <c r="PC7" s="64"/>
      <c r="PD7" s="64"/>
      <c r="PE7" s="64"/>
      <c r="PF7" s="64"/>
      <c r="PG7" s="64"/>
      <c r="PH7" s="64"/>
      <c r="PI7" s="64"/>
      <c r="PJ7" s="64"/>
      <c r="PK7" s="64"/>
      <c r="PL7" s="64"/>
      <c r="PM7" s="64"/>
      <c r="PN7" s="64"/>
      <c r="PO7" s="64"/>
      <c r="PP7" s="64"/>
      <c r="PQ7" s="64"/>
      <c r="PR7" s="64"/>
      <c r="PS7" s="64"/>
      <c r="PT7" s="64"/>
      <c r="PU7" s="64"/>
      <c r="PV7" s="64"/>
      <c r="PW7" s="64"/>
      <c r="PX7" s="64"/>
      <c r="PY7" s="64"/>
      <c r="PZ7" s="64"/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64"/>
      <c r="QZ7" s="64"/>
      <c r="RA7" s="64"/>
      <c r="RB7" s="64"/>
      <c r="RC7" s="64"/>
      <c r="RD7" s="64"/>
      <c r="RE7" s="64"/>
      <c r="RF7" s="64"/>
      <c r="RG7" s="64"/>
      <c r="RH7" s="64"/>
      <c r="RI7" s="64"/>
      <c r="RJ7" s="64"/>
      <c r="RK7" s="64"/>
      <c r="RL7" s="64"/>
      <c r="RM7" s="64"/>
      <c r="RN7" s="64"/>
      <c r="RO7" s="64"/>
      <c r="RP7" s="64"/>
      <c r="RQ7" s="64"/>
      <c r="RR7" s="64"/>
      <c r="RS7" s="64"/>
      <c r="RT7" s="64"/>
      <c r="RU7" s="64"/>
      <c r="RV7" s="64"/>
      <c r="RW7" s="64"/>
      <c r="RX7" s="64"/>
      <c r="RY7" s="64"/>
      <c r="RZ7" s="64"/>
      <c r="SA7" s="64"/>
      <c r="SB7" s="64"/>
      <c r="SC7" s="64"/>
      <c r="SD7" s="64"/>
      <c r="SE7" s="64"/>
      <c r="SF7" s="64"/>
      <c r="SG7" s="64"/>
      <c r="SH7" s="64"/>
      <c r="SI7" s="64"/>
      <c r="SJ7" s="64"/>
      <c r="SK7" s="64"/>
      <c r="SL7" s="64"/>
      <c r="SM7" s="64"/>
      <c r="SN7" s="64"/>
    </row>
    <row r="9" spans="2:508" ht="15" customHeight="1">
      <c r="B9" s="124" t="s">
        <v>350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</row>
    <row r="10" spans="2:508"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</row>
    <row r="11" spans="2:508" ht="69.95" customHeight="1">
      <c r="B11" s="124" t="s">
        <v>221</v>
      </c>
      <c r="C11" s="124" t="s">
        <v>27</v>
      </c>
      <c r="D11" s="213" t="s">
        <v>225</v>
      </c>
      <c r="E11" s="213" t="s">
        <v>226</v>
      </c>
      <c r="F11" s="213" t="s">
        <v>227</v>
      </c>
      <c r="G11" s="214" t="s">
        <v>228</v>
      </c>
      <c r="H11" s="214" t="s">
        <v>229</v>
      </c>
      <c r="I11" s="214" t="s">
        <v>155</v>
      </c>
      <c r="J11" s="214" t="s">
        <v>230</v>
      </c>
      <c r="K11" s="214" t="s">
        <v>231</v>
      </c>
      <c r="L11" s="214" t="s">
        <v>232</v>
      </c>
      <c r="M11" s="214" t="s">
        <v>233</v>
      </c>
      <c r="N11" s="214" t="s">
        <v>234</v>
      </c>
      <c r="O11" s="214" t="s">
        <v>235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</row>
    <row r="12" spans="2:508">
      <c r="B12" s="135"/>
      <c r="C12" s="135" t="s">
        <v>171</v>
      </c>
      <c r="D12" s="141">
        <v>10</v>
      </c>
      <c r="E12" s="141">
        <v>0</v>
      </c>
      <c r="F12" s="141">
        <v>2</v>
      </c>
      <c r="G12" s="126">
        <f>D12*'Datos de entrada MOD'!$T$21+E12*'Datos de entrada MOD'!$T$18+F12*'Datos de entrada MOD'!$T$17</f>
        <v>116</v>
      </c>
      <c r="H12" s="141">
        <v>0</v>
      </c>
      <c r="I12" s="141">
        <v>3</v>
      </c>
      <c r="J12" s="141">
        <v>1</v>
      </c>
      <c r="K12" s="141">
        <v>1</v>
      </c>
      <c r="L12" s="141"/>
      <c r="M12" s="141"/>
      <c r="N12" s="126">
        <f>H12*'Datos de entrada MOD'!$T$22+I12*'Datos de entrada MOD'!$T$19+J12*'Datos de entrada MOD'!$T$20+K12*'Datos de entrada MOD'!$T$23</f>
        <v>33</v>
      </c>
      <c r="O12" s="126">
        <v>13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</row>
    <row r="13" spans="2:508">
      <c r="B13" s="269"/>
      <c r="C13" s="269"/>
      <c r="D13" s="141">
        <v>0</v>
      </c>
      <c r="E13" s="141">
        <v>0</v>
      </c>
      <c r="F13" s="141">
        <v>0</v>
      </c>
      <c r="G13" s="126">
        <f>D13*'Datos de entrada MOD'!$T$21+E13*'Datos de entrada MOD'!$T$18+F13*'Datos de entrada MOD'!$T$17</f>
        <v>0</v>
      </c>
      <c r="H13" s="141">
        <v>0</v>
      </c>
      <c r="I13" s="141">
        <v>0</v>
      </c>
      <c r="J13" s="141">
        <v>0</v>
      </c>
      <c r="K13" s="141">
        <v>0</v>
      </c>
      <c r="L13" s="141"/>
      <c r="M13" s="141"/>
      <c r="N13" s="126">
        <f>H13*'Datos de entrada MOD'!$T$22+I13*'Datos de entrada MOD'!$T$19+J13*'Datos de entrada MOD'!$T$20+K13*'Datos de entrada MOD'!$T$23</f>
        <v>0</v>
      </c>
      <c r="O13" s="126">
        <v>0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</row>
    <row r="14" spans="2:508">
      <c r="B14" s="269"/>
      <c r="C14" s="269"/>
      <c r="D14" s="141">
        <v>0</v>
      </c>
      <c r="E14" s="141">
        <v>0</v>
      </c>
      <c r="F14" s="141">
        <v>0</v>
      </c>
      <c r="G14" s="126">
        <f>D14*'Datos de entrada MOD'!$T$21+E14*'Datos de entrada MOD'!$T$18+F14*'Datos de entrada MOD'!$T$17</f>
        <v>0</v>
      </c>
      <c r="H14" s="141">
        <v>0</v>
      </c>
      <c r="I14" s="141">
        <v>0</v>
      </c>
      <c r="J14" s="141">
        <v>0</v>
      </c>
      <c r="K14" s="141">
        <v>0</v>
      </c>
      <c r="L14" s="141"/>
      <c r="M14" s="141"/>
      <c r="N14" s="126">
        <f>H14*'Datos de entrada MOD'!$T$22+I14*'Datos de entrada MOD'!$T$19+J14*'Datos de entrada MOD'!$T$20+K14*'Datos de entrada MOD'!$T$23</f>
        <v>0</v>
      </c>
      <c r="O14" s="126">
        <v>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</row>
    <row r="15" spans="2:508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</row>
    <row r="16" spans="2:508">
      <c r="B16" s="125" t="s">
        <v>236</v>
      </c>
      <c r="C16" s="124"/>
      <c r="D16" s="141">
        <f>SUM(G12:G14,N12:N14)+5</f>
        <v>154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</row>
    <row r="17" spans="2:420">
      <c r="B17" s="125" t="s">
        <v>237</v>
      </c>
      <c r="C17" s="124"/>
      <c r="D17" s="141">
        <v>11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</row>
    <row r="18" spans="2:420">
      <c r="B18" s="125" t="s">
        <v>238</v>
      </c>
      <c r="C18" s="124"/>
      <c r="D18" s="141">
        <v>12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</row>
    <row r="19" spans="2:420">
      <c r="B19" s="125" t="s">
        <v>239</v>
      </c>
      <c r="C19" s="124"/>
      <c r="D19" s="141">
        <f>D18</f>
        <v>12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</row>
    <row r="20" spans="2:420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</row>
    <row r="21" spans="2:420" ht="15" customHeight="1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</row>
    <row r="22" spans="2:420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</row>
    <row r="23" spans="2:420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</row>
    <row r="24" spans="2:420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</row>
    <row r="25" spans="2:420" ht="69.95" customHeight="1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</row>
    <row r="26" spans="2:420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</row>
    <row r="27" spans="2:420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</row>
    <row r="28" spans="2:420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</row>
    <row r="29" spans="2:420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</row>
    <row r="30" spans="2:420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</row>
    <row r="31" spans="2:420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</row>
    <row r="32" spans="2:420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</row>
    <row r="33" customFormat="1"/>
    <row r="34" customFormat="1"/>
    <row r="35" customFormat="1"/>
    <row r="36" customFormat="1"/>
    <row r="37" customFormat="1"/>
    <row r="38" customFormat="1"/>
    <row r="39" customFormat="1" ht="69.95" customHeigh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 ht="69.95" customHeigh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 ht="69.95" customHeigh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 ht="69.95" customHeigh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 ht="69.95" customHeigh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</sheetData>
  <conditionalFormatting sqref="G5:SN7">
    <cfRule type="cellIs" dxfId="49" priority="1" operator="equal">
      <formula>"S"</formula>
    </cfRule>
    <cfRule type="cellIs" dxfId="48" priority="2" operator="equal">
      <formula>"IC"</formula>
    </cfRule>
    <cfRule type="cellIs" dxfId="47" priority="3" operator="equal">
      <formula>"DS"</formula>
    </cfRule>
    <cfRule type="cellIs" dxfId="46" priority="4" operator="equal">
      <formula>"V"</formula>
    </cfRule>
    <cfRule type="cellIs" dxfId="45" priority="5" operator="equal">
      <formula>""""""</formula>
    </cfRule>
    <cfRule type="cellIs" dxfId="44" priority="6" operator="equal">
      <formula>"H"</formula>
    </cfRule>
    <cfRule type="cellIs" dxfId="43" priority="7" operator="equal">
      <formula>"I"</formula>
    </cfRule>
    <cfRule type="cellIs" dxfId="42" priority="8" operator="equal">
      <formula>"D"</formula>
    </cfRule>
    <cfRule type="cellIs" dxfId="41" priority="9" operator="equal">
      <formula>"EM"</formula>
    </cfRule>
    <cfRule type="cellIs" dxfId="40" priority="10" operator="equal">
      <formula>"X"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81" r:id="rId4" name="Button 1">
              <controlPr defaultSize="0" print="0" autoFill="0" autoPict="0" macro="[0]!GenerateSchedule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733425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82" r:id="rId5" name="Button 2">
              <controlPr defaultSize="0" print="0" autoFill="0" autoPict="0" macro="[0]!copySchedule">
                <anchor moveWithCells="1" sizeWithCells="1">
                  <from>
                    <xdr:col>0</xdr:col>
                    <xdr:colOff>19050</xdr:colOff>
                    <xdr:row>3</xdr:row>
                    <xdr:rowOff>209550</xdr:rowOff>
                  </from>
                  <to>
                    <xdr:col>0</xdr:col>
                    <xdr:colOff>723900</xdr:colOff>
                    <xdr:row>3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83" r:id="rId6" name="Button 3">
              <controlPr defaultSize="0" print="0" autoFill="0" autoPict="0" macro="[0]!DelCurrentSheet">
                <anchor moveWithCells="1" sizeWithCells="1">
                  <from>
                    <xdr:col>0</xdr:col>
                    <xdr:colOff>9525</xdr:colOff>
                    <xdr:row>4</xdr:row>
                    <xdr:rowOff>38100</xdr:rowOff>
                  </from>
                  <to>
                    <xdr:col>0</xdr:col>
                    <xdr:colOff>723900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0C5D1BD-2C65-4F3D-98EA-70365A6F52D4}">
          <x14:formula1>
            <xm:f>'Datos de entrada MOD'!$E$25:$E$26</xm:f>
          </x14:formula1>
          <xm:sqref>D22:D24 D40:D42 D82:D84 D68:D70 D54:D56 D26:D28 D36 D5:D7 D96:D98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3A918-B24B-4312-B065-81CFCD7C0B53}">
  <dimension ref="A1:Q31"/>
  <sheetViews>
    <sheetView workbookViewId="0">
      <selection activeCell="K12" sqref="K12"/>
    </sheetView>
  </sheetViews>
  <sheetFormatPr defaultColWidth="11.42578125" defaultRowHeight="15"/>
  <cols>
    <col min="3" max="3" width="18" customWidth="1"/>
    <col min="4" max="4" width="16.7109375" customWidth="1"/>
    <col min="5" max="5" width="22.7109375" customWidth="1"/>
    <col min="6" max="6" width="22.28515625" customWidth="1"/>
    <col min="7" max="7" width="20.85546875" customWidth="1"/>
    <col min="8" max="8" width="13.7109375" customWidth="1"/>
    <col min="9" max="9" width="23" customWidth="1"/>
    <col min="10" max="10" width="21.140625" customWidth="1"/>
    <col min="11" max="12" width="19" customWidth="1"/>
    <col min="13" max="13" width="20.28515625" customWidth="1"/>
  </cols>
  <sheetData>
    <row r="1" spans="1:17">
      <c r="A1" t="s">
        <v>193</v>
      </c>
    </row>
    <row r="2" spans="1:17" ht="15.75">
      <c r="B2" s="278" t="s">
        <v>45</v>
      </c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</row>
    <row r="3" spans="1:17" ht="16.5" thickBot="1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7" ht="16.5" thickBot="1">
      <c r="B4" s="4"/>
      <c r="C4" s="4"/>
      <c r="D4" s="300" t="s">
        <v>49</v>
      </c>
      <c r="E4" s="301"/>
      <c r="F4" s="95">
        <f>IF('Inicio MOD'!C21="Un turno",1,2)</f>
        <v>2</v>
      </c>
      <c r="G4" s="4"/>
      <c r="H4" s="300" t="s">
        <v>50</v>
      </c>
      <c r="I4" s="301"/>
      <c r="J4" s="95">
        <f>IF('Inicio MOD'!$F$13=0,1,'Inicio MOD'!$F$13)</f>
        <v>2</v>
      </c>
      <c r="K4" s="4"/>
      <c r="L4" s="4"/>
      <c r="M4" s="4"/>
    </row>
    <row r="5" spans="1:17" ht="15.75">
      <c r="B5" s="2"/>
      <c r="C5" s="2"/>
      <c r="D5" s="4"/>
      <c r="E5" s="4"/>
      <c r="F5" s="4"/>
      <c r="G5" s="4"/>
      <c r="H5" s="4"/>
      <c r="I5" s="4"/>
      <c r="J5" s="4"/>
      <c r="K5" s="4"/>
      <c r="L5" s="4"/>
      <c r="M5" s="4"/>
    </row>
    <row r="6" spans="1:17" ht="30">
      <c r="B6" s="296" t="s">
        <v>51</v>
      </c>
      <c r="C6" s="298" t="s">
        <v>52</v>
      </c>
      <c r="D6" s="197" t="s">
        <v>203</v>
      </c>
      <c r="E6" s="197" t="s">
        <v>204</v>
      </c>
      <c r="F6" s="197" t="s">
        <v>205</v>
      </c>
      <c r="G6" s="197" t="s">
        <v>206</v>
      </c>
      <c r="H6" s="298" t="s">
        <v>53</v>
      </c>
      <c r="I6" s="218" t="s">
        <v>54</v>
      </c>
      <c r="J6" s="219"/>
      <c r="K6" s="219"/>
      <c r="L6" s="219"/>
      <c r="M6" s="302" t="s">
        <v>207</v>
      </c>
      <c r="N6" s="302"/>
      <c r="O6" s="302"/>
      <c r="P6" s="303"/>
      <c r="Q6" s="121" t="s">
        <v>56</v>
      </c>
    </row>
    <row r="7" spans="1:17" ht="30">
      <c r="B7" s="297"/>
      <c r="C7" s="299"/>
      <c r="D7" s="196"/>
      <c r="E7" s="200" t="s">
        <v>208</v>
      </c>
      <c r="F7" s="200"/>
      <c r="G7" s="200"/>
      <c r="H7" s="299"/>
      <c r="I7" s="120" t="s">
        <v>57</v>
      </c>
      <c r="J7" s="120" t="s">
        <v>58</v>
      </c>
      <c r="K7" s="120" t="s">
        <v>59</v>
      </c>
      <c r="L7" s="120" t="s">
        <v>60</v>
      </c>
      <c r="M7" s="122" t="s">
        <v>209</v>
      </c>
      <c r="N7" s="122" t="s">
        <v>210</v>
      </c>
      <c r="O7" s="122" t="s">
        <v>211</v>
      </c>
      <c r="P7" s="122" t="s">
        <v>212</v>
      </c>
      <c r="Q7" s="120" t="str">
        <f>+CONCATENATE(J4," ","máquinas")</f>
        <v>2 máquinas</v>
      </c>
    </row>
    <row r="8" spans="1:17">
      <c r="B8" s="140">
        <v>16</v>
      </c>
      <c r="C8" s="140" t="str">
        <f>'Inicio MOD'!$E$13&amp;"-"&amp;B8</f>
        <v>BHSR B4 KP23 -16</v>
      </c>
      <c r="D8" s="135">
        <v>1</v>
      </c>
      <c r="E8" s="135">
        <v>1</v>
      </c>
      <c r="F8" s="135">
        <v>0.5</v>
      </c>
      <c r="G8" s="135">
        <v>0.5</v>
      </c>
      <c r="H8" s="135">
        <v>60</v>
      </c>
      <c r="I8" s="135">
        <v>0</v>
      </c>
      <c r="J8" s="135">
        <v>0</v>
      </c>
      <c r="K8" s="135">
        <v>35</v>
      </c>
      <c r="L8" s="140">
        <f>H8-I8-J8-K8</f>
        <v>25</v>
      </c>
      <c r="M8" s="140">
        <f>'Datos de entrada MOD'!$C$39*F4</f>
        <v>12</v>
      </c>
      <c r="N8" s="140">
        <f>'Datos de entrada MOD'!$C$40*F4</f>
        <v>16</v>
      </c>
      <c r="O8" s="140">
        <f>'Datos de entrada MOD'!$C$38*F4</f>
        <v>8</v>
      </c>
      <c r="P8" s="140">
        <f>'Datos de entrada MOD'!$C$41*F4</f>
        <v>20</v>
      </c>
      <c r="Q8" s="140">
        <f>ROUNDUP($I8/$M8+$J8/$N8+$K8/$O8+$L8/$P8+E8+F8+G8,0)</f>
        <v>8</v>
      </c>
    </row>
    <row r="9" spans="1:17">
      <c r="B9" s="140">
        <f>B8+1</f>
        <v>17</v>
      </c>
      <c r="C9" s="140" t="str">
        <f>'Inicio MOD'!$E$13&amp;"-"&amp;B9</f>
        <v>BHSR B4 KP23 -17</v>
      </c>
      <c r="D9" s="135">
        <v>2</v>
      </c>
      <c r="E9" s="135">
        <v>1</v>
      </c>
      <c r="F9" s="135">
        <f>F8</f>
        <v>0.5</v>
      </c>
      <c r="G9" s="135">
        <f>G8</f>
        <v>0.5</v>
      </c>
      <c r="H9" s="135">
        <v>100</v>
      </c>
      <c r="I9" s="135">
        <v>0</v>
      </c>
      <c r="J9" s="135">
        <v>0</v>
      </c>
      <c r="K9" s="135">
        <v>15</v>
      </c>
      <c r="L9" s="140">
        <f>H9-I9-J9-K9</f>
        <v>85</v>
      </c>
      <c r="M9" s="140">
        <f>M8</f>
        <v>12</v>
      </c>
      <c r="N9" s="140">
        <f>N8</f>
        <v>16</v>
      </c>
      <c r="O9" s="140">
        <f>O8</f>
        <v>8</v>
      </c>
      <c r="P9" s="140">
        <f>P8</f>
        <v>20</v>
      </c>
      <c r="Q9" s="140">
        <f>ROUNDUP($I9/$M9+$J9/$N9+$K9/$O9+$L9/$P9+E9+F9+G9,0)</f>
        <v>9</v>
      </c>
    </row>
    <row r="10" spans="1:17">
      <c r="B10" s="140">
        <f t="shared" ref="B10:B11" si="0">B9+1</f>
        <v>18</v>
      </c>
      <c r="C10" s="140" t="str">
        <f>'Inicio MOD'!$E$13&amp;"-"&amp;B10</f>
        <v>BHSR B4 KP23 -18</v>
      </c>
      <c r="D10" s="135">
        <v>1</v>
      </c>
      <c r="E10" s="135">
        <v>1</v>
      </c>
      <c r="F10" s="135">
        <f t="shared" ref="F10:F13" si="1">F9</f>
        <v>0.5</v>
      </c>
      <c r="G10" s="135">
        <f t="shared" ref="G10:G13" si="2">G9</f>
        <v>0.5</v>
      </c>
      <c r="H10" s="135">
        <v>60</v>
      </c>
      <c r="I10" s="135">
        <v>0</v>
      </c>
      <c r="J10" s="135">
        <v>0</v>
      </c>
      <c r="K10" s="135">
        <v>35</v>
      </c>
      <c r="L10" s="140">
        <f t="shared" ref="L10:L13" si="3">H10-I10-J10-K10</f>
        <v>25</v>
      </c>
      <c r="M10" s="140">
        <f t="shared" ref="M10:M13" si="4">M9</f>
        <v>12</v>
      </c>
      <c r="N10" s="140">
        <f t="shared" ref="N10:N13" si="5">N9</f>
        <v>16</v>
      </c>
      <c r="O10" s="140">
        <f t="shared" ref="O10:O13" si="6">O9</f>
        <v>8</v>
      </c>
      <c r="P10" s="140">
        <f t="shared" ref="P10:P13" si="7">P9</f>
        <v>20</v>
      </c>
      <c r="Q10" s="140">
        <f t="shared" ref="Q10:Q13" si="8">ROUNDUP($I10/$M10+$J10/$N10+$K10/$O10+$L10/$P10+E10+F10+G10,0)</f>
        <v>8</v>
      </c>
    </row>
    <row r="11" spans="1:17">
      <c r="B11" s="140">
        <f t="shared" si="0"/>
        <v>19</v>
      </c>
      <c r="C11" s="140" t="str">
        <f>'Inicio MOD'!$E$13&amp;"-"&amp;B11</f>
        <v>BHSR B4 KP23 -19</v>
      </c>
      <c r="D11" s="135">
        <v>2</v>
      </c>
      <c r="E11" s="135">
        <v>1</v>
      </c>
      <c r="F11" s="135">
        <f t="shared" si="1"/>
        <v>0.5</v>
      </c>
      <c r="G11" s="135">
        <f t="shared" si="2"/>
        <v>0.5</v>
      </c>
      <c r="H11" s="135">
        <v>60</v>
      </c>
      <c r="I11" s="135">
        <v>0</v>
      </c>
      <c r="J11" s="135">
        <v>0</v>
      </c>
      <c r="K11" s="135">
        <v>35</v>
      </c>
      <c r="L11" s="140">
        <f t="shared" si="3"/>
        <v>25</v>
      </c>
      <c r="M11" s="140">
        <f t="shared" si="4"/>
        <v>12</v>
      </c>
      <c r="N11" s="140">
        <f t="shared" si="5"/>
        <v>16</v>
      </c>
      <c r="O11" s="140">
        <f t="shared" si="6"/>
        <v>8</v>
      </c>
      <c r="P11" s="140">
        <f t="shared" si="7"/>
        <v>20</v>
      </c>
      <c r="Q11" s="140">
        <f t="shared" si="8"/>
        <v>8</v>
      </c>
    </row>
    <row r="12" spans="1:17">
      <c r="B12" s="140">
        <v>1</v>
      </c>
      <c r="C12" s="140" t="str">
        <f>'Inicio MOD'!$E$13&amp;"-"&amp;B12</f>
        <v>BHSR B4 KP23 -1</v>
      </c>
      <c r="D12" s="135">
        <v>1</v>
      </c>
      <c r="E12" s="135">
        <v>1</v>
      </c>
      <c r="F12" s="135">
        <f t="shared" si="1"/>
        <v>0.5</v>
      </c>
      <c r="G12" s="135">
        <f t="shared" si="2"/>
        <v>0.5</v>
      </c>
      <c r="H12" s="135">
        <v>60</v>
      </c>
      <c r="I12" s="135">
        <v>0</v>
      </c>
      <c r="J12" s="135">
        <v>0</v>
      </c>
      <c r="K12" s="135">
        <v>55</v>
      </c>
      <c r="L12" s="140">
        <f t="shared" si="3"/>
        <v>5</v>
      </c>
      <c r="M12" s="140">
        <f t="shared" si="4"/>
        <v>12</v>
      </c>
      <c r="N12" s="140">
        <f t="shared" si="5"/>
        <v>16</v>
      </c>
      <c r="O12" s="140">
        <f t="shared" si="6"/>
        <v>8</v>
      </c>
      <c r="P12" s="140">
        <f t="shared" si="7"/>
        <v>20</v>
      </c>
      <c r="Q12" s="140">
        <f t="shared" si="8"/>
        <v>10</v>
      </c>
    </row>
    <row r="13" spans="1:17">
      <c r="B13" s="140">
        <v>3</v>
      </c>
      <c r="C13" s="140" t="str">
        <f>'Inicio MOD'!$E$13&amp;"-"&amp;B13</f>
        <v>BHSR B4 KP23 -3</v>
      </c>
      <c r="D13" s="135">
        <v>2</v>
      </c>
      <c r="E13" s="135">
        <v>1</v>
      </c>
      <c r="F13" s="135">
        <f t="shared" si="1"/>
        <v>0.5</v>
      </c>
      <c r="G13" s="135">
        <f t="shared" si="2"/>
        <v>0.5</v>
      </c>
      <c r="H13" s="135">
        <v>80</v>
      </c>
      <c r="I13" s="135">
        <v>0</v>
      </c>
      <c r="J13" s="135">
        <v>0</v>
      </c>
      <c r="K13" s="135">
        <v>15</v>
      </c>
      <c r="L13" s="140">
        <f t="shared" si="3"/>
        <v>65</v>
      </c>
      <c r="M13" s="140">
        <f t="shared" si="4"/>
        <v>12</v>
      </c>
      <c r="N13" s="140">
        <f t="shared" si="5"/>
        <v>16</v>
      </c>
      <c r="O13" s="140">
        <f t="shared" si="6"/>
        <v>8</v>
      </c>
      <c r="P13" s="140">
        <f t="shared" si="7"/>
        <v>20</v>
      </c>
      <c r="Q13" s="140">
        <f t="shared" si="8"/>
        <v>8</v>
      </c>
    </row>
    <row r="15" spans="1:17">
      <c r="B15" s="123" t="s">
        <v>351</v>
      </c>
      <c r="C15" s="195">
        <v>51</v>
      </c>
      <c r="E15" s="123" t="s">
        <v>220</v>
      </c>
      <c r="F15" s="135">
        <v>0</v>
      </c>
    </row>
    <row r="16" spans="1:17">
      <c r="L16" s="136" t="s">
        <v>240</v>
      </c>
      <c r="M16" s="69"/>
    </row>
    <row r="17" spans="2:14">
      <c r="M17" s="69"/>
    </row>
    <row r="18" spans="2:14">
      <c r="L18" s="243" t="s">
        <v>241</v>
      </c>
      <c r="M18" s="69"/>
      <c r="N18" s="69"/>
    </row>
    <row r="19" spans="2:14">
      <c r="B19" s="124" t="s">
        <v>219</v>
      </c>
      <c r="D19" s="123" t="s">
        <v>221</v>
      </c>
      <c r="E19" s="195">
        <v>3</v>
      </c>
      <c r="L19" s="243" t="s">
        <v>243</v>
      </c>
      <c r="M19" s="69"/>
      <c r="N19" s="69"/>
    </row>
    <row r="20" spans="2:14">
      <c r="L20" s="243" t="s">
        <v>245</v>
      </c>
      <c r="M20" s="69"/>
      <c r="N20" s="69"/>
    </row>
    <row r="21" spans="2:14">
      <c r="B21" s="124" t="s">
        <v>221</v>
      </c>
      <c r="C21" s="124" t="s">
        <v>27</v>
      </c>
      <c r="D21" s="124" t="s">
        <v>222</v>
      </c>
      <c r="E21" s="124" t="s">
        <v>223</v>
      </c>
      <c r="F21" s="124" t="s">
        <v>224</v>
      </c>
      <c r="L21" s="243" t="s">
        <v>246</v>
      </c>
      <c r="N21" s="69"/>
    </row>
    <row r="22" spans="2:14">
      <c r="B22" s="135">
        <v>1</v>
      </c>
      <c r="C22" s="135" t="s">
        <v>174</v>
      </c>
      <c r="D22" s="135" t="str">
        <f>'Inicio MOD'!$C$8</f>
        <v>14x7</v>
      </c>
      <c r="E22" s="268">
        <v>45413</v>
      </c>
      <c r="F22" s="147">
        <v>26</v>
      </c>
      <c r="L22" s="243" t="s">
        <v>247</v>
      </c>
      <c r="N22" s="69"/>
    </row>
    <row r="23" spans="2:14">
      <c r="B23" s="135">
        <v>2</v>
      </c>
      <c r="C23" s="135"/>
      <c r="D23" s="135" t="str">
        <f>+IF(AND('Table Headings'!$F$4=1,E19=2),RIGHT(D22,1)&amp;"x"&amp;LEFT(D22,2),D22)</f>
        <v>14x7</v>
      </c>
      <c r="E23" s="148"/>
      <c r="F23" s="149"/>
      <c r="L23" s="243" t="s">
        <v>248</v>
      </c>
      <c r="N23" s="69"/>
    </row>
    <row r="24" spans="2:14">
      <c r="B24" s="135">
        <v>3</v>
      </c>
      <c r="C24" s="135"/>
      <c r="D24" s="135" t="str">
        <f>IF(D22="14x7","14x7","14x14")</f>
        <v>14x7</v>
      </c>
      <c r="E24" s="150"/>
      <c r="F24" s="151"/>
    </row>
    <row r="26" spans="2:14">
      <c r="B26" s="124" t="s">
        <v>352</v>
      </c>
      <c r="D26" s="123" t="s">
        <v>221</v>
      </c>
      <c r="E26" s="195">
        <v>3</v>
      </c>
    </row>
    <row r="28" spans="2:14">
      <c r="B28" s="124" t="s">
        <v>221</v>
      </c>
      <c r="C28" s="124" t="s">
        <v>27</v>
      </c>
      <c r="D28" s="124" t="s">
        <v>222</v>
      </c>
      <c r="E28" s="124" t="s">
        <v>223</v>
      </c>
      <c r="F28" s="124" t="s">
        <v>224</v>
      </c>
    </row>
    <row r="29" spans="2:14">
      <c r="B29" s="135">
        <v>4</v>
      </c>
      <c r="C29" s="135" t="s">
        <v>174</v>
      </c>
      <c r="D29" s="135" t="str">
        <f>'Inicio MOD'!$C$8</f>
        <v>14x7</v>
      </c>
      <c r="E29" s="268">
        <v>45413</v>
      </c>
      <c r="F29" s="147">
        <v>25</v>
      </c>
    </row>
    <row r="30" spans="2:14">
      <c r="B30" s="135">
        <v>5</v>
      </c>
      <c r="C30" s="135"/>
      <c r="D30" s="135" t="str">
        <f>+IF(AND('Table Headings'!$F$4=1,E26=2),RIGHT(D29,1)&amp;"x"&amp;LEFT(D29,2),D29)</f>
        <v>14x7</v>
      </c>
      <c r="E30" s="148"/>
      <c r="F30" s="149"/>
    </row>
    <row r="31" spans="2:14">
      <c r="B31" s="135">
        <v>6</v>
      </c>
      <c r="C31" s="135"/>
      <c r="D31" s="135" t="str">
        <f>IF(D29="14x7","14x7","14x14")</f>
        <v>14x7</v>
      </c>
      <c r="E31" s="150"/>
      <c r="F31" s="151"/>
    </row>
  </sheetData>
  <mergeCells count="7">
    <mergeCell ref="B2:M2"/>
    <mergeCell ref="D4:E4"/>
    <mergeCell ref="H4:I4"/>
    <mergeCell ref="B6:B7"/>
    <mergeCell ref="C6:C7"/>
    <mergeCell ref="H6:H7"/>
    <mergeCell ref="M6:P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7601" r:id="rId3" name="Button 1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14</xdr:row>
                    <xdr:rowOff>38100</xdr:rowOff>
                  </from>
                  <to>
                    <xdr:col>3</xdr:col>
                    <xdr:colOff>914400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3" r:id="rId4" name="Button 3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14</xdr:row>
                    <xdr:rowOff>38100</xdr:rowOff>
                  </from>
                  <to>
                    <xdr:col>3</xdr:col>
                    <xdr:colOff>914400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4" r:id="rId5" name="Button 4">
              <controlPr defaultSize="0" print="0" autoFill="0" autoPict="0" macro="[0]!genScheduleforTab">
                <anchor moveWithCells="1" sizeWithCells="1">
                  <from>
                    <xdr:col>7</xdr:col>
                    <xdr:colOff>219075</xdr:colOff>
                    <xdr:row>19</xdr:row>
                    <xdr:rowOff>66675</xdr:rowOff>
                  </from>
                  <to>
                    <xdr:col>8</xdr:col>
                    <xdr:colOff>800100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F7E7A8-0CAA-4A26-AE04-380A27FBCCB4}">
          <x14:formula1>
            <xm:f>Rates!$C$24:$C$32</xm:f>
          </x14:formula1>
          <xm:sqref>C22:C24 C29:C31</xm:sqref>
        </x14:dataValidation>
        <x14:dataValidation type="list" allowBlank="1" showInputMessage="1" showErrorMessage="1" xr:uid="{C0F49FAE-F788-4BF4-A28B-34AD0782CC1C}">
          <x14:formula1>
            <xm:f>'Datos de entrada MOD'!$E$25:$E$26</xm:f>
          </x14:formula1>
          <xm:sqref>D22 D29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A41F3-56DF-496D-8DF0-1E36115E4877}">
  <sheetPr codeName="Hoja127">
    <tabColor theme="6" tint="0.59999389629810485"/>
  </sheetPr>
  <dimension ref="B1:TQ186"/>
  <sheetViews>
    <sheetView zoomScale="70" zoomScaleNormal="70" workbookViewId="0">
      <selection activeCell="X14" sqref="X14:AJ14"/>
    </sheetView>
  </sheetViews>
  <sheetFormatPr defaultColWidth="11.42578125" defaultRowHeight="15"/>
  <cols>
    <col min="6" max="6" width="14.85546875" customWidth="1"/>
    <col min="7" max="420" width="5.7109375" style="110" customWidth="1"/>
  </cols>
  <sheetData>
    <row r="1" spans="2:537" ht="84" customHeight="1">
      <c r="C1" s="109"/>
      <c r="D1" s="109">
        <v>2</v>
      </c>
      <c r="E1" s="237">
        <v>2</v>
      </c>
      <c r="G1" s="238">
        <f>MIN(E5:E7)-5</f>
        <v>45408</v>
      </c>
      <c r="H1" s="238">
        <f>G1+1</f>
        <v>45409</v>
      </c>
      <c r="I1" s="238">
        <f t="shared" ref="I1:AL1" si="0">H1+1</f>
        <v>45410</v>
      </c>
      <c r="J1" s="238">
        <f t="shared" si="0"/>
        <v>45411</v>
      </c>
      <c r="K1" s="238">
        <f t="shared" si="0"/>
        <v>45412</v>
      </c>
      <c r="L1" s="238">
        <f t="shared" si="0"/>
        <v>45413</v>
      </c>
      <c r="M1" s="238">
        <f t="shared" si="0"/>
        <v>45414</v>
      </c>
      <c r="N1" s="238">
        <f t="shared" si="0"/>
        <v>45415</v>
      </c>
      <c r="O1" s="238">
        <f t="shared" si="0"/>
        <v>45416</v>
      </c>
      <c r="P1" s="238">
        <f t="shared" si="0"/>
        <v>45417</v>
      </c>
      <c r="Q1" s="238">
        <f t="shared" si="0"/>
        <v>45418</v>
      </c>
      <c r="R1" s="238">
        <f t="shared" si="0"/>
        <v>45419</v>
      </c>
      <c r="S1" s="238">
        <f t="shared" si="0"/>
        <v>45420</v>
      </c>
      <c r="T1" s="238">
        <f t="shared" si="0"/>
        <v>45421</v>
      </c>
      <c r="U1" s="238">
        <f t="shared" si="0"/>
        <v>45422</v>
      </c>
      <c r="V1" s="238">
        <f t="shared" si="0"/>
        <v>45423</v>
      </c>
      <c r="W1" s="238">
        <f t="shared" si="0"/>
        <v>45424</v>
      </c>
      <c r="X1" s="238">
        <f t="shared" si="0"/>
        <v>45425</v>
      </c>
      <c r="Y1" s="238">
        <f t="shared" si="0"/>
        <v>45426</v>
      </c>
      <c r="Z1" s="238">
        <f t="shared" si="0"/>
        <v>45427</v>
      </c>
      <c r="AA1" s="238">
        <f t="shared" si="0"/>
        <v>45428</v>
      </c>
      <c r="AB1" s="238">
        <f t="shared" si="0"/>
        <v>45429</v>
      </c>
      <c r="AC1" s="238">
        <f t="shared" si="0"/>
        <v>45430</v>
      </c>
      <c r="AD1" s="238">
        <f t="shared" si="0"/>
        <v>45431</v>
      </c>
      <c r="AE1" s="238">
        <f t="shared" si="0"/>
        <v>45432</v>
      </c>
      <c r="AF1" s="238">
        <f t="shared" si="0"/>
        <v>45433</v>
      </c>
      <c r="AG1" s="238">
        <f t="shared" si="0"/>
        <v>45434</v>
      </c>
      <c r="AH1" s="238">
        <f t="shared" si="0"/>
        <v>45435</v>
      </c>
      <c r="AI1" s="238">
        <f t="shared" si="0"/>
        <v>45436</v>
      </c>
      <c r="AJ1" s="238">
        <f t="shared" si="0"/>
        <v>45437</v>
      </c>
      <c r="AK1" s="238">
        <f t="shared" si="0"/>
        <v>45438</v>
      </c>
      <c r="AL1" s="238">
        <f t="shared" si="0"/>
        <v>45439</v>
      </c>
    </row>
    <row r="2" spans="2:537" ht="24.75" customHeight="1">
      <c r="B2" s="123" t="s">
        <v>219</v>
      </c>
      <c r="C2" s="109">
        <v>3</v>
      </c>
      <c r="D2" s="109">
        <v>3</v>
      </c>
      <c r="E2" s="237">
        <f>'Inicio MOD'!$M$14</f>
        <v>0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</row>
    <row r="3" spans="2:537" ht="24.75" customHeight="1"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239"/>
      <c r="AM3" s="239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39"/>
      <c r="BE3" s="239"/>
      <c r="BF3" s="239"/>
      <c r="BG3" s="239"/>
      <c r="BH3" s="239"/>
      <c r="BI3" s="239"/>
      <c r="BJ3" s="239"/>
      <c r="BK3" s="239"/>
      <c r="BL3" s="239"/>
      <c r="BM3" s="239"/>
      <c r="BN3" s="239"/>
      <c r="BO3" s="239"/>
      <c r="BP3" s="239"/>
      <c r="BQ3" s="239"/>
      <c r="BR3" s="239"/>
      <c r="BS3" s="239"/>
    </row>
    <row r="4" spans="2:537" s="110" customFormat="1" ht="84" customHeight="1">
      <c r="B4" s="171" t="s">
        <v>221</v>
      </c>
      <c r="C4" s="171" t="s">
        <v>27</v>
      </c>
      <c r="D4" s="171" t="s">
        <v>222</v>
      </c>
      <c r="E4" s="172" t="s">
        <v>223</v>
      </c>
      <c r="F4" s="172" t="s">
        <v>224</v>
      </c>
      <c r="G4" s="329" t="s">
        <v>102</v>
      </c>
      <c r="H4" s="330"/>
      <c r="I4" s="330"/>
      <c r="J4" s="330"/>
      <c r="K4" s="331"/>
      <c r="L4" s="329" t="s">
        <v>353</v>
      </c>
      <c r="M4" s="330"/>
      <c r="N4" s="330"/>
      <c r="O4" s="330"/>
      <c r="P4" s="330"/>
      <c r="Q4" s="330"/>
      <c r="R4" s="330"/>
      <c r="S4" s="331"/>
      <c r="T4" s="329" t="s">
        <v>354</v>
      </c>
      <c r="U4" s="330"/>
      <c r="V4" s="330"/>
      <c r="W4" s="330"/>
      <c r="X4" s="330"/>
      <c r="Y4" s="330"/>
      <c r="Z4" s="330"/>
      <c r="AA4" s="331"/>
      <c r="AB4" s="329" t="s">
        <v>355</v>
      </c>
      <c r="AC4" s="330"/>
      <c r="AD4" s="330"/>
      <c r="AE4" s="330"/>
      <c r="AF4" s="330"/>
      <c r="AG4" s="330"/>
      <c r="AH4" s="330"/>
      <c r="AI4" s="330"/>
      <c r="AJ4" s="330"/>
      <c r="AK4" s="331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</row>
    <row r="5" spans="2:537">
      <c r="B5" s="135">
        <v>1</v>
      </c>
      <c r="C5" s="135" t="s">
        <v>174</v>
      </c>
      <c r="D5" s="135" t="s">
        <v>7</v>
      </c>
      <c r="E5" s="268">
        <v>45413</v>
      </c>
      <c r="F5" s="147">
        <v>26</v>
      </c>
      <c r="G5" s="64" t="s">
        <v>1</v>
      </c>
      <c r="H5" s="64" t="s">
        <v>1</v>
      </c>
      <c r="I5" s="64" t="s">
        <v>201</v>
      </c>
      <c r="J5" s="64" t="s">
        <v>349</v>
      </c>
      <c r="K5" s="64" t="s">
        <v>349</v>
      </c>
      <c r="L5" s="64" t="s">
        <v>20</v>
      </c>
      <c r="M5" s="64" t="s">
        <v>20</v>
      </c>
      <c r="N5" s="64" t="s">
        <v>20</v>
      </c>
      <c r="O5" s="64" t="s">
        <v>20</v>
      </c>
      <c r="P5" s="64" t="s">
        <v>20</v>
      </c>
      <c r="Q5" s="64" t="s">
        <v>20</v>
      </c>
      <c r="R5" s="64" t="s">
        <v>20</v>
      </c>
      <c r="S5" s="64" t="s">
        <v>20</v>
      </c>
      <c r="T5" s="64" t="s">
        <v>20</v>
      </c>
      <c r="U5" s="64" t="s">
        <v>20</v>
      </c>
      <c r="V5" s="64" t="s">
        <v>20</v>
      </c>
      <c r="W5" s="64" t="s">
        <v>20</v>
      </c>
      <c r="X5" s="64" t="s">
        <v>8</v>
      </c>
      <c r="Y5" s="64" t="s">
        <v>17</v>
      </c>
      <c r="Z5" s="64" t="s">
        <v>17</v>
      </c>
      <c r="AA5" s="64" t="s">
        <v>17</v>
      </c>
      <c r="AB5" s="64" t="s">
        <v>17</v>
      </c>
      <c r="AC5" s="64" t="s">
        <v>17</v>
      </c>
      <c r="AD5" s="64" t="s">
        <v>201</v>
      </c>
      <c r="AE5" s="64" t="s">
        <v>20</v>
      </c>
      <c r="AF5" s="64" t="s">
        <v>20</v>
      </c>
      <c r="AG5" s="64" t="s">
        <v>20</v>
      </c>
      <c r="AH5" s="64" t="s">
        <v>20</v>
      </c>
      <c r="AI5" s="64" t="s">
        <v>20</v>
      </c>
      <c r="AJ5" s="64" t="s">
        <v>20</v>
      </c>
      <c r="AK5" s="64" t="s">
        <v>20</v>
      </c>
      <c r="AL5" s="64" t="s">
        <v>8</v>
      </c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  <c r="KT5" s="64"/>
      <c r="KU5" s="64"/>
      <c r="KV5" s="64"/>
      <c r="KW5" s="64"/>
      <c r="KX5" s="64"/>
      <c r="KY5" s="64"/>
      <c r="KZ5" s="64"/>
      <c r="LA5" s="64"/>
      <c r="LB5" s="64"/>
      <c r="LC5" s="64"/>
      <c r="LD5" s="64"/>
      <c r="LE5" s="64"/>
      <c r="LF5" s="64"/>
      <c r="LG5" s="64"/>
      <c r="LH5" s="64"/>
      <c r="LI5" s="64"/>
      <c r="LJ5" s="64"/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64"/>
      <c r="MJ5" s="64"/>
      <c r="MK5" s="64"/>
      <c r="ML5" s="64"/>
      <c r="MM5" s="64"/>
      <c r="MN5" s="64"/>
      <c r="MO5" s="64"/>
      <c r="MP5" s="64"/>
      <c r="MQ5" s="64"/>
      <c r="MR5" s="64"/>
      <c r="MS5" s="64"/>
      <c r="MT5" s="64"/>
      <c r="MU5" s="64"/>
      <c r="MV5" s="64"/>
      <c r="MW5" s="64"/>
      <c r="MX5" s="64"/>
      <c r="MY5" s="64"/>
      <c r="MZ5" s="64"/>
      <c r="NA5" s="64"/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64"/>
      <c r="OR5" s="64"/>
      <c r="OS5" s="64"/>
      <c r="OT5" s="64"/>
      <c r="OU5" s="64"/>
      <c r="OV5" s="64"/>
      <c r="OW5" s="64"/>
      <c r="OX5" s="64"/>
      <c r="OY5" s="64"/>
      <c r="OZ5" s="64"/>
      <c r="PA5" s="64"/>
      <c r="PB5" s="64"/>
      <c r="PC5" s="64"/>
      <c r="PD5" s="64"/>
      <c r="PE5" s="64"/>
      <c r="PF5" s="64"/>
      <c r="PG5" s="64"/>
      <c r="PH5" s="64"/>
      <c r="PI5" s="64"/>
      <c r="PJ5" s="64"/>
      <c r="PK5" s="64"/>
      <c r="PL5" s="64"/>
      <c r="PM5" s="64"/>
      <c r="PN5" s="64"/>
      <c r="PO5" s="64"/>
      <c r="PP5" s="64"/>
      <c r="PQ5" s="64"/>
      <c r="PR5" s="64"/>
      <c r="PS5" s="64"/>
      <c r="PT5" s="64"/>
      <c r="PU5" s="64"/>
      <c r="PV5" s="64"/>
      <c r="PW5" s="64"/>
      <c r="PX5" s="64"/>
      <c r="PY5" s="64"/>
      <c r="PZ5" s="64"/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64"/>
      <c r="QZ5" s="64"/>
      <c r="RA5" s="64"/>
      <c r="RB5" s="64"/>
      <c r="RC5" s="64"/>
      <c r="RD5" s="64"/>
      <c r="RE5" s="64"/>
      <c r="RF5" s="64"/>
      <c r="RG5" s="64"/>
      <c r="RH5" s="64"/>
      <c r="RI5" s="64"/>
      <c r="RJ5" s="64"/>
      <c r="RK5" s="64"/>
      <c r="RL5" s="64"/>
      <c r="RM5" s="64"/>
      <c r="RN5" s="64"/>
      <c r="RO5" s="64"/>
      <c r="RP5" s="64"/>
      <c r="RQ5" s="64"/>
      <c r="RR5" s="64"/>
      <c r="RS5" s="64"/>
      <c r="RT5" s="64"/>
      <c r="RU5" s="64"/>
      <c r="RV5" s="64"/>
      <c r="RW5" s="64"/>
      <c r="RX5" s="64"/>
      <c r="RY5" s="64"/>
      <c r="RZ5" s="64"/>
      <c r="SA5" s="64"/>
      <c r="SB5" s="64"/>
      <c r="SC5" s="64"/>
      <c r="SD5" s="64"/>
      <c r="SE5" s="64"/>
      <c r="SF5" s="64"/>
      <c r="SG5" s="64"/>
      <c r="SH5" s="64"/>
      <c r="SI5" s="64"/>
      <c r="SJ5" s="64"/>
      <c r="SK5" s="64"/>
      <c r="SL5" s="64"/>
      <c r="SM5" s="64"/>
      <c r="SN5" s="64"/>
    </row>
    <row r="6" spans="2:537">
      <c r="B6" s="135">
        <v>2</v>
      </c>
      <c r="C6" s="135"/>
      <c r="D6" s="135" t="s">
        <v>7</v>
      </c>
      <c r="E6" s="148"/>
      <c r="F6" s="149"/>
      <c r="G6" s="64"/>
      <c r="H6" s="64"/>
      <c r="I6" s="64"/>
      <c r="J6" s="64"/>
      <c r="K6" s="64"/>
      <c r="L6" s="64"/>
      <c r="M6" s="64"/>
      <c r="N6" s="64" t="s">
        <v>1</v>
      </c>
      <c r="O6" s="64" t="s">
        <v>1</v>
      </c>
      <c r="P6" s="64" t="s">
        <v>201</v>
      </c>
      <c r="Q6" s="64" t="s">
        <v>349</v>
      </c>
      <c r="R6" s="64" t="s">
        <v>349</v>
      </c>
      <c r="S6" s="64" t="s">
        <v>20</v>
      </c>
      <c r="T6" s="64" t="s">
        <v>20</v>
      </c>
      <c r="U6" s="64" t="s">
        <v>20</v>
      </c>
      <c r="V6" s="64" t="s">
        <v>20</v>
      </c>
      <c r="W6" s="64" t="s">
        <v>20</v>
      </c>
      <c r="X6" s="64" t="s">
        <v>20</v>
      </c>
      <c r="Y6" s="64" t="s">
        <v>20</v>
      </c>
      <c r="Z6" s="64" t="s">
        <v>20</v>
      </c>
      <c r="AA6" s="64" t="s">
        <v>20</v>
      </c>
      <c r="AB6" s="64" t="s">
        <v>20</v>
      </c>
      <c r="AC6" s="64" t="s">
        <v>20</v>
      </c>
      <c r="AD6" s="64" t="s">
        <v>20</v>
      </c>
      <c r="AE6" s="64" t="s">
        <v>8</v>
      </c>
      <c r="AF6" s="64" t="s">
        <v>17</v>
      </c>
      <c r="AG6" s="64" t="s">
        <v>17</v>
      </c>
      <c r="AH6" s="64" t="s">
        <v>17</v>
      </c>
      <c r="AI6" s="64" t="s">
        <v>17</v>
      </c>
      <c r="AJ6" s="64" t="s">
        <v>17</v>
      </c>
      <c r="AK6" s="64" t="s">
        <v>17</v>
      </c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</row>
    <row r="7" spans="2:537">
      <c r="B7" s="135">
        <v>3</v>
      </c>
      <c r="C7" s="135"/>
      <c r="D7" s="135" t="s">
        <v>7</v>
      </c>
      <c r="E7" s="150"/>
      <c r="F7" s="151"/>
      <c r="G7" s="64" t="s">
        <v>1</v>
      </c>
      <c r="H7" s="64" t="s">
        <v>1</v>
      </c>
      <c r="I7" s="64" t="s">
        <v>201</v>
      </c>
      <c r="J7" s="64" t="s">
        <v>349</v>
      </c>
      <c r="K7" s="64" t="s">
        <v>349</v>
      </c>
      <c r="L7" s="64" t="s">
        <v>20</v>
      </c>
      <c r="M7" s="64" t="s">
        <v>20</v>
      </c>
      <c r="N7" s="64" t="s">
        <v>20</v>
      </c>
      <c r="O7" s="64" t="s">
        <v>20</v>
      </c>
      <c r="P7" s="64" t="s">
        <v>20</v>
      </c>
      <c r="Q7" s="64" t="s">
        <v>20</v>
      </c>
      <c r="R7" s="64" t="s">
        <v>20</v>
      </c>
      <c r="S7" s="64" t="s">
        <v>8</v>
      </c>
      <c r="T7" s="64" t="s">
        <v>17</v>
      </c>
      <c r="U7" s="64" t="s">
        <v>17</v>
      </c>
      <c r="V7" s="64" t="s">
        <v>17</v>
      </c>
      <c r="W7" s="64" t="s">
        <v>201</v>
      </c>
      <c r="X7" s="64" t="s">
        <v>20</v>
      </c>
      <c r="Y7" s="64" t="s">
        <v>20</v>
      </c>
      <c r="Z7" s="64" t="s">
        <v>20</v>
      </c>
      <c r="AA7" s="64" t="s">
        <v>20</v>
      </c>
      <c r="AB7" s="64" t="s">
        <v>20</v>
      </c>
      <c r="AC7" s="64" t="s">
        <v>20</v>
      </c>
      <c r="AD7" s="64" t="s">
        <v>20</v>
      </c>
      <c r="AE7" s="64" t="s">
        <v>20</v>
      </c>
      <c r="AF7" s="64" t="s">
        <v>20</v>
      </c>
      <c r="AG7" s="64" t="s">
        <v>20</v>
      </c>
      <c r="AH7" s="64" t="s">
        <v>20</v>
      </c>
      <c r="AI7" s="64" t="s">
        <v>20</v>
      </c>
      <c r="AJ7" s="64" t="s">
        <v>20</v>
      </c>
      <c r="AK7" s="64" t="s">
        <v>20</v>
      </c>
      <c r="AL7" s="64" t="s">
        <v>8</v>
      </c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  <c r="KT7" s="64"/>
      <c r="KU7" s="64"/>
      <c r="KV7" s="64"/>
      <c r="KW7" s="64"/>
      <c r="KX7" s="64"/>
      <c r="KY7" s="64"/>
      <c r="KZ7" s="64"/>
      <c r="LA7" s="64"/>
      <c r="LB7" s="64"/>
      <c r="LC7" s="64"/>
      <c r="LD7" s="64"/>
      <c r="LE7" s="64"/>
      <c r="LF7" s="64"/>
      <c r="LG7" s="64"/>
      <c r="LH7" s="64"/>
      <c r="LI7" s="64"/>
      <c r="LJ7" s="64"/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64"/>
      <c r="MJ7" s="64"/>
      <c r="MK7" s="64"/>
      <c r="ML7" s="64"/>
      <c r="MM7" s="64"/>
      <c r="MN7" s="64"/>
      <c r="MO7" s="64"/>
      <c r="MP7" s="64"/>
      <c r="MQ7" s="64"/>
      <c r="MR7" s="64"/>
      <c r="MS7" s="64"/>
      <c r="MT7" s="64"/>
      <c r="MU7" s="64"/>
      <c r="MV7" s="64"/>
      <c r="MW7" s="64"/>
      <c r="MX7" s="64"/>
      <c r="MY7" s="64"/>
      <c r="MZ7" s="64"/>
      <c r="NA7" s="64"/>
      <c r="NB7" s="64"/>
      <c r="NC7" s="64"/>
      <c r="ND7" s="64"/>
      <c r="NE7" s="64"/>
      <c r="NF7" s="64"/>
      <c r="NG7" s="64"/>
      <c r="NH7" s="64"/>
      <c r="NI7" s="64"/>
      <c r="NJ7" s="64"/>
      <c r="NK7" s="64"/>
      <c r="NL7" s="64"/>
      <c r="NM7" s="64"/>
      <c r="NN7" s="64"/>
      <c r="NO7" s="64"/>
      <c r="NP7" s="64"/>
      <c r="NQ7" s="64"/>
      <c r="NR7" s="64"/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64"/>
      <c r="OR7" s="64"/>
      <c r="OS7" s="64"/>
      <c r="OT7" s="64"/>
      <c r="OU7" s="64"/>
      <c r="OV7" s="64"/>
      <c r="OW7" s="64"/>
      <c r="OX7" s="64"/>
      <c r="OY7" s="64"/>
      <c r="OZ7" s="64"/>
      <c r="PA7" s="64"/>
      <c r="PB7" s="64"/>
      <c r="PC7" s="64"/>
      <c r="PD7" s="64"/>
      <c r="PE7" s="64"/>
      <c r="PF7" s="64"/>
      <c r="PG7" s="64"/>
      <c r="PH7" s="64"/>
      <c r="PI7" s="64"/>
      <c r="PJ7" s="64"/>
      <c r="PK7" s="64"/>
      <c r="PL7" s="64"/>
      <c r="PM7" s="64"/>
      <c r="PN7" s="64"/>
      <c r="PO7" s="64"/>
      <c r="PP7" s="64"/>
      <c r="PQ7" s="64"/>
      <c r="PR7" s="64"/>
      <c r="PS7" s="64"/>
      <c r="PT7" s="64"/>
      <c r="PU7" s="64"/>
      <c r="PV7" s="64"/>
      <c r="PW7" s="64"/>
      <c r="PX7" s="64"/>
      <c r="PY7" s="64"/>
      <c r="PZ7" s="64"/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64"/>
      <c r="QZ7" s="64"/>
      <c r="RA7" s="64"/>
      <c r="RB7" s="64"/>
      <c r="RC7" s="64"/>
      <c r="RD7" s="64"/>
      <c r="RE7" s="64"/>
      <c r="RF7" s="64"/>
      <c r="RG7" s="64"/>
      <c r="RH7" s="64"/>
      <c r="RI7" s="64"/>
      <c r="RJ7" s="64"/>
      <c r="RK7" s="64"/>
      <c r="RL7" s="64"/>
      <c r="RM7" s="64"/>
      <c r="RN7" s="64"/>
      <c r="RO7" s="64"/>
      <c r="RP7" s="64"/>
      <c r="RQ7" s="64"/>
      <c r="RR7" s="64"/>
      <c r="RS7" s="64"/>
      <c r="RT7" s="64"/>
      <c r="RU7" s="64"/>
      <c r="RV7" s="64"/>
      <c r="RW7" s="64"/>
      <c r="RX7" s="64"/>
      <c r="RY7" s="64"/>
      <c r="RZ7" s="64"/>
      <c r="SA7" s="64"/>
      <c r="SB7" s="64"/>
      <c r="SC7" s="64"/>
      <c r="SD7" s="64"/>
      <c r="SE7" s="64"/>
      <c r="SF7" s="64"/>
      <c r="SG7" s="64"/>
      <c r="SH7" s="64"/>
      <c r="SI7" s="64"/>
      <c r="SJ7" s="64"/>
      <c r="SK7" s="64"/>
      <c r="SL7" s="64"/>
      <c r="SM7" s="64"/>
      <c r="SN7" s="64"/>
    </row>
    <row r="9" spans="2:537" ht="15" customHeight="1">
      <c r="B9" s="123" t="s">
        <v>352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</row>
    <row r="10" spans="2:537"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</row>
    <row r="11" spans="2:537" ht="69.95" customHeight="1">
      <c r="B11" s="171" t="s">
        <v>221</v>
      </c>
      <c r="C11" s="171" t="s">
        <v>27</v>
      </c>
      <c r="D11" s="171" t="s">
        <v>222</v>
      </c>
      <c r="E11" s="172" t="s">
        <v>223</v>
      </c>
      <c r="F11" s="172" t="s">
        <v>224</v>
      </c>
      <c r="G11" s="329" t="s">
        <v>102</v>
      </c>
      <c r="H11" s="330"/>
      <c r="I11" s="330"/>
      <c r="J11" s="330"/>
      <c r="K11" s="331"/>
      <c r="L11" s="329" t="s">
        <v>356</v>
      </c>
      <c r="M11" s="330"/>
      <c r="N11" s="330"/>
      <c r="O11" s="330"/>
      <c r="P11" s="330"/>
      <c r="Q11" s="330"/>
      <c r="R11" s="330"/>
      <c r="S11" s="330"/>
      <c r="T11" s="331"/>
      <c r="U11" s="329" t="s">
        <v>357</v>
      </c>
      <c r="V11" s="330"/>
      <c r="W11" s="330"/>
      <c r="X11" s="330"/>
      <c r="Y11" s="330"/>
      <c r="Z11" s="330"/>
      <c r="AA11" s="330"/>
      <c r="AB11" s="331"/>
      <c r="AC11" s="329" t="s">
        <v>358</v>
      </c>
      <c r="AD11" s="330"/>
      <c r="AE11" s="330"/>
      <c r="AF11" s="330"/>
      <c r="AG11" s="330"/>
      <c r="AH11" s="330"/>
      <c r="AI11" s="330"/>
      <c r="AJ11" s="33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</row>
    <row r="12" spans="2:537">
      <c r="B12" s="135">
        <v>4</v>
      </c>
      <c r="C12" s="135" t="s">
        <v>174</v>
      </c>
      <c r="D12" s="135" t="s">
        <v>7</v>
      </c>
      <c r="E12" s="268">
        <v>45413</v>
      </c>
      <c r="F12" s="147">
        <v>25</v>
      </c>
      <c r="G12" s="64" t="s">
        <v>1</v>
      </c>
      <c r="H12" s="64" t="s">
        <v>1</v>
      </c>
      <c r="I12" s="64" t="s">
        <v>201</v>
      </c>
      <c r="J12" s="64" t="s">
        <v>349</v>
      </c>
      <c r="K12" s="64" t="s">
        <v>349</v>
      </c>
      <c r="L12" s="64" t="s">
        <v>20</v>
      </c>
      <c r="M12" s="64" t="s">
        <v>20</v>
      </c>
      <c r="N12" s="64" t="s">
        <v>20</v>
      </c>
      <c r="O12" s="64" t="s">
        <v>20</v>
      </c>
      <c r="P12" s="64" t="s">
        <v>20</v>
      </c>
      <c r="Q12" s="64" t="s">
        <v>20</v>
      </c>
      <c r="R12" s="64" t="s">
        <v>20</v>
      </c>
      <c r="S12" s="64" t="s">
        <v>20</v>
      </c>
      <c r="T12" s="64" t="s">
        <v>20</v>
      </c>
      <c r="U12" s="64" t="s">
        <v>20</v>
      </c>
      <c r="V12" s="64" t="s">
        <v>20</v>
      </c>
      <c r="W12" s="64" t="s">
        <v>20</v>
      </c>
      <c r="X12" s="64" t="s">
        <v>8</v>
      </c>
      <c r="Y12" s="64" t="s">
        <v>17</v>
      </c>
      <c r="Z12" s="64" t="s">
        <v>17</v>
      </c>
      <c r="AA12" s="64" t="s">
        <v>17</v>
      </c>
      <c r="AB12" s="64" t="s">
        <v>17</v>
      </c>
      <c r="AC12" s="64" t="s">
        <v>17</v>
      </c>
      <c r="AD12" s="64" t="s">
        <v>201</v>
      </c>
      <c r="AE12" s="64" t="s">
        <v>20</v>
      </c>
      <c r="AF12" s="64" t="s">
        <v>20</v>
      </c>
      <c r="AG12" s="64" t="s">
        <v>20</v>
      </c>
      <c r="AH12" s="64" t="s">
        <v>20</v>
      </c>
      <c r="AI12" s="64" t="s">
        <v>20</v>
      </c>
      <c r="AJ12" s="64" t="s">
        <v>20</v>
      </c>
      <c r="AK12" s="64" t="s">
        <v>8</v>
      </c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  <c r="EU12" s="64"/>
      <c r="EV12" s="64"/>
      <c r="EW12" s="64"/>
      <c r="EX12" s="64"/>
      <c r="EY12" s="64"/>
      <c r="EZ12" s="64"/>
      <c r="FA12" s="64"/>
      <c r="FB12" s="64"/>
      <c r="FC12" s="64"/>
      <c r="FD12" s="64"/>
      <c r="FE12" s="64"/>
      <c r="FF12" s="64"/>
      <c r="FG12" s="64"/>
      <c r="FH12" s="64"/>
      <c r="FI12" s="64"/>
      <c r="FJ12" s="64"/>
      <c r="FK12" s="64"/>
      <c r="FL12" s="64"/>
      <c r="FM12" s="64"/>
      <c r="FN12" s="64"/>
      <c r="FO12" s="64"/>
      <c r="FP12" s="64"/>
      <c r="FQ12" s="64"/>
      <c r="FR12" s="64"/>
      <c r="FS12" s="64"/>
      <c r="FT12" s="64"/>
      <c r="FU12" s="64"/>
      <c r="FV12" s="64"/>
      <c r="FW12" s="64"/>
      <c r="FX12" s="64"/>
      <c r="FY12" s="64"/>
      <c r="FZ12" s="64"/>
      <c r="GA12" s="64"/>
      <c r="GB12" s="64"/>
      <c r="GC12" s="64"/>
      <c r="GD12" s="64"/>
      <c r="GE12" s="64"/>
      <c r="GF12" s="64"/>
      <c r="GG12" s="64"/>
      <c r="GH12" s="64"/>
      <c r="GI12" s="64"/>
      <c r="GJ12" s="64"/>
      <c r="GK12" s="64"/>
      <c r="GL12" s="64"/>
      <c r="GM12" s="64"/>
      <c r="GN12" s="64"/>
      <c r="GO12" s="64"/>
      <c r="GP12" s="64"/>
      <c r="GQ12" s="64"/>
      <c r="GR12" s="64"/>
      <c r="GS12" s="64"/>
      <c r="GT12" s="64"/>
      <c r="GU12" s="64"/>
      <c r="GV12" s="64"/>
      <c r="GW12" s="64"/>
      <c r="GX12" s="64"/>
      <c r="GY12" s="64"/>
      <c r="GZ12" s="64"/>
      <c r="HA12" s="64"/>
      <c r="HB12" s="64"/>
      <c r="HC12" s="64"/>
      <c r="HD12" s="64"/>
      <c r="HE12" s="64"/>
      <c r="HF12" s="64"/>
      <c r="HG12" s="64"/>
      <c r="HH12" s="64"/>
      <c r="HI12" s="64"/>
      <c r="HJ12" s="64"/>
      <c r="HK12" s="64"/>
      <c r="HL12" s="64"/>
      <c r="HM12" s="64"/>
      <c r="HN12" s="64"/>
      <c r="HO12" s="64"/>
      <c r="HP12" s="64"/>
      <c r="HQ12" s="64"/>
      <c r="HR12" s="64"/>
      <c r="HS12" s="64"/>
      <c r="HT12" s="64"/>
      <c r="HU12" s="64"/>
      <c r="HV12" s="64"/>
      <c r="HW12" s="64"/>
      <c r="HX12" s="64"/>
      <c r="HY12" s="64"/>
      <c r="HZ12" s="64"/>
      <c r="IA12" s="64"/>
      <c r="IB12" s="64"/>
      <c r="IC12" s="64"/>
      <c r="ID12" s="64"/>
      <c r="IE12" s="64"/>
      <c r="IF12" s="64"/>
      <c r="IG12" s="64"/>
      <c r="IH12" s="64"/>
      <c r="II12" s="64"/>
      <c r="IJ12" s="64"/>
      <c r="IK12" s="64"/>
      <c r="IL12" s="64"/>
      <c r="IM12" s="64"/>
      <c r="IN12" s="64"/>
      <c r="IO12" s="64"/>
      <c r="IP12" s="64"/>
      <c r="IQ12" s="64"/>
      <c r="IR12" s="64"/>
      <c r="IS12" s="64"/>
      <c r="IT12" s="64"/>
      <c r="IU12" s="64"/>
      <c r="IV12" s="64"/>
      <c r="IW12" s="64"/>
      <c r="IX12" s="64"/>
      <c r="IY12" s="64"/>
      <c r="IZ12" s="64"/>
      <c r="JA12" s="64"/>
      <c r="JB12" s="64"/>
      <c r="JC12" s="64"/>
      <c r="JD12" s="64"/>
      <c r="JE12" s="64"/>
      <c r="JF12" s="64"/>
      <c r="JG12" s="64"/>
      <c r="JH12" s="64"/>
      <c r="JI12" s="64"/>
      <c r="JJ12" s="64"/>
      <c r="JK12" s="64"/>
      <c r="JL12" s="64"/>
      <c r="JM12" s="64"/>
      <c r="JN12" s="64"/>
      <c r="JO12" s="64"/>
      <c r="JP12" s="64"/>
      <c r="JQ12" s="64"/>
      <c r="JR12" s="64"/>
      <c r="JS12" s="64"/>
      <c r="JT12" s="64"/>
      <c r="JU12" s="64"/>
      <c r="JV12" s="64"/>
      <c r="JW12" s="64"/>
      <c r="JX12" s="64"/>
      <c r="JY12" s="64"/>
      <c r="JZ12" s="64"/>
      <c r="KA12" s="64"/>
      <c r="KB12" s="64"/>
      <c r="KC12" s="64"/>
      <c r="KD12" s="64"/>
      <c r="KE12" s="64"/>
      <c r="KF12" s="64"/>
      <c r="KG12" s="64"/>
      <c r="KH12" s="64"/>
      <c r="KI12" s="64"/>
      <c r="KJ12" s="64"/>
      <c r="KK12" s="64"/>
      <c r="KL12" s="64"/>
      <c r="KM12" s="64"/>
      <c r="KN12" s="64"/>
      <c r="KO12" s="64"/>
      <c r="KP12" s="64"/>
      <c r="KQ12" s="64"/>
      <c r="KR12" s="64"/>
      <c r="KS12" s="64"/>
      <c r="KT12" s="64"/>
      <c r="KU12" s="64"/>
      <c r="KV12" s="64"/>
      <c r="KW12" s="64"/>
      <c r="KX12" s="64"/>
      <c r="KY12" s="64"/>
      <c r="KZ12" s="64"/>
      <c r="LA12" s="64"/>
      <c r="LB12" s="64"/>
      <c r="LC12" s="64"/>
      <c r="LD12" s="64"/>
      <c r="LE12" s="64"/>
      <c r="LF12" s="64"/>
      <c r="LG12" s="64"/>
      <c r="LH12" s="64"/>
      <c r="LI12" s="64"/>
      <c r="LJ12" s="64"/>
      <c r="LK12" s="64"/>
      <c r="LL12" s="64"/>
      <c r="LM12" s="64"/>
      <c r="LN12" s="64"/>
      <c r="LO12" s="64"/>
      <c r="LP12" s="64"/>
      <c r="LQ12" s="64"/>
      <c r="LR12" s="64"/>
      <c r="LS12" s="64"/>
      <c r="LT12" s="64"/>
      <c r="LU12" s="64"/>
      <c r="LV12" s="64"/>
      <c r="LW12" s="64"/>
      <c r="LX12" s="64"/>
      <c r="LY12" s="64"/>
      <c r="LZ12" s="64"/>
      <c r="MA12" s="64"/>
      <c r="MB12" s="64"/>
      <c r="MC12" s="64"/>
      <c r="MD12" s="64"/>
      <c r="ME12" s="64"/>
      <c r="MF12" s="64"/>
      <c r="MG12" s="64"/>
      <c r="MH12" s="64"/>
      <c r="MI12" s="64"/>
      <c r="MJ12" s="64"/>
      <c r="MK12" s="64"/>
      <c r="ML12" s="64"/>
      <c r="MM12" s="64"/>
      <c r="MN12" s="64"/>
      <c r="MO12" s="64"/>
      <c r="MP12" s="64"/>
      <c r="MQ12" s="64"/>
      <c r="MR12" s="64"/>
      <c r="MS12" s="64"/>
      <c r="MT12" s="64"/>
      <c r="MU12" s="64"/>
      <c r="MV12" s="64"/>
      <c r="MW12" s="64"/>
      <c r="MX12" s="64"/>
      <c r="MY12" s="64"/>
      <c r="MZ12" s="64"/>
      <c r="NA12" s="64"/>
      <c r="NB12" s="64"/>
      <c r="NC12" s="64"/>
      <c r="ND12" s="64"/>
      <c r="NE12" s="64"/>
      <c r="NF12" s="64"/>
      <c r="NG12" s="64"/>
      <c r="NH12" s="64"/>
      <c r="NI12" s="64"/>
      <c r="NJ12" s="64"/>
      <c r="NK12" s="64"/>
      <c r="NL12" s="64"/>
      <c r="NM12" s="64"/>
      <c r="NN12" s="64"/>
      <c r="NO12" s="64"/>
      <c r="NP12" s="64"/>
      <c r="NQ12" s="64"/>
      <c r="NR12" s="64"/>
      <c r="NS12" s="64"/>
      <c r="NT12" s="64"/>
      <c r="NU12" s="64"/>
      <c r="NV12" s="64"/>
      <c r="NW12" s="64"/>
      <c r="NX12" s="64"/>
      <c r="NY12" s="64"/>
      <c r="NZ12" s="64"/>
      <c r="OA12" s="64"/>
      <c r="OB12" s="64"/>
      <c r="OC12" s="64"/>
      <c r="OD12" s="64"/>
      <c r="OE12" s="64"/>
      <c r="OF12" s="64"/>
      <c r="OG12" s="64"/>
      <c r="OH12" s="64"/>
      <c r="OI12" s="64"/>
      <c r="OJ12" s="64"/>
      <c r="OK12" s="64"/>
      <c r="OL12" s="64"/>
      <c r="OM12" s="64"/>
      <c r="ON12" s="64"/>
      <c r="OO12" s="64"/>
      <c r="OP12" s="64"/>
      <c r="OQ12" s="64"/>
      <c r="OR12" s="64"/>
      <c r="OS12" s="64"/>
      <c r="OT12" s="64"/>
      <c r="OU12" s="64"/>
      <c r="OV12" s="64"/>
      <c r="OW12" s="64"/>
      <c r="OX12" s="64"/>
      <c r="OY12" s="64"/>
      <c r="OZ12" s="64"/>
      <c r="PA12" s="64"/>
      <c r="PB12" s="64"/>
      <c r="PC12" s="64"/>
      <c r="PD12" s="64"/>
      <c r="PE12" s="64"/>
      <c r="PF12" s="64"/>
      <c r="PG12" s="64"/>
      <c r="PH12" s="64"/>
      <c r="PI12" s="64"/>
      <c r="PJ12" s="64"/>
      <c r="PK12" s="64"/>
      <c r="PL12" s="64"/>
      <c r="PM12" s="64"/>
      <c r="PN12" s="64"/>
      <c r="PO12" s="64"/>
      <c r="PP12" s="64"/>
      <c r="PQ12" s="64"/>
      <c r="PR12" s="64"/>
      <c r="PS12" s="64"/>
      <c r="PT12" s="64"/>
      <c r="PU12" s="64"/>
      <c r="PV12" s="64"/>
      <c r="PW12" s="64"/>
      <c r="PX12" s="64"/>
      <c r="PY12" s="64"/>
      <c r="PZ12" s="64"/>
      <c r="QA12" s="64"/>
      <c r="QB12" s="64"/>
      <c r="QC12" s="64"/>
      <c r="QD12" s="64"/>
      <c r="QE12" s="64"/>
      <c r="QF12" s="64"/>
      <c r="QG12" s="64"/>
      <c r="QH12" s="64"/>
      <c r="QI12" s="64"/>
      <c r="QJ12" s="64"/>
      <c r="QK12" s="64"/>
      <c r="QL12" s="64"/>
      <c r="QM12" s="64"/>
      <c r="QN12" s="64"/>
      <c r="QO12" s="64"/>
      <c r="QP12" s="64"/>
      <c r="QQ12" s="64"/>
      <c r="QR12" s="64"/>
      <c r="QS12" s="64"/>
      <c r="QT12" s="64"/>
      <c r="QU12" s="64"/>
      <c r="QV12" s="64"/>
      <c r="QW12" s="64"/>
      <c r="QX12" s="64"/>
      <c r="QY12" s="64"/>
      <c r="QZ12" s="64"/>
      <c r="RA12" s="64"/>
      <c r="RB12" s="64"/>
      <c r="RC12" s="64"/>
      <c r="RD12" s="64"/>
      <c r="RE12" s="64"/>
      <c r="RF12" s="64"/>
      <c r="RG12" s="64"/>
      <c r="RH12" s="64"/>
      <c r="RI12" s="64"/>
      <c r="RJ12" s="64"/>
      <c r="RK12" s="64"/>
      <c r="RL12" s="64"/>
      <c r="RM12" s="64"/>
      <c r="RN12" s="64"/>
      <c r="RO12" s="64"/>
      <c r="RP12" s="64"/>
      <c r="RQ12" s="64"/>
      <c r="RR12" s="64"/>
      <c r="RS12" s="64"/>
      <c r="RT12" s="64"/>
      <c r="RU12" s="64"/>
      <c r="RV12" s="64"/>
      <c r="RW12" s="64"/>
      <c r="RX12" s="64"/>
      <c r="RY12" s="64"/>
      <c r="RZ12" s="64"/>
      <c r="SA12" s="64"/>
      <c r="SB12" s="64"/>
      <c r="SC12" s="64"/>
      <c r="SD12" s="64"/>
      <c r="SE12" s="64"/>
      <c r="SF12" s="64"/>
      <c r="SG12" s="64"/>
      <c r="SH12" s="64"/>
      <c r="SI12" s="64"/>
      <c r="SJ12" s="64"/>
      <c r="SK12" s="64"/>
      <c r="SL12" s="64"/>
      <c r="SM12" s="64"/>
      <c r="SN12" s="64"/>
    </row>
    <row r="13" spans="2:537">
      <c r="B13" s="135">
        <v>5</v>
      </c>
      <c r="C13" s="135"/>
      <c r="D13" s="135" t="s">
        <v>7</v>
      </c>
      <c r="E13" s="148"/>
      <c r="F13" s="149"/>
      <c r="G13" s="64"/>
      <c r="H13" s="64"/>
      <c r="I13" s="64"/>
      <c r="J13" s="64"/>
      <c r="K13" s="64"/>
      <c r="L13" s="64"/>
      <c r="M13" s="64"/>
      <c r="N13" s="64" t="s">
        <v>1</v>
      </c>
      <c r="O13" s="64" t="s">
        <v>1</v>
      </c>
      <c r="P13" s="64" t="s">
        <v>201</v>
      </c>
      <c r="Q13" s="64" t="s">
        <v>349</v>
      </c>
      <c r="R13" s="64" t="s">
        <v>349</v>
      </c>
      <c r="S13" s="64" t="s">
        <v>20</v>
      </c>
      <c r="T13" s="64" t="s">
        <v>20</v>
      </c>
      <c r="U13" s="64" t="s">
        <v>20</v>
      </c>
      <c r="V13" s="64" t="s">
        <v>20</v>
      </c>
      <c r="W13" s="64" t="s">
        <v>20</v>
      </c>
      <c r="X13" s="64" t="s">
        <v>20</v>
      </c>
      <c r="Y13" s="64" t="s">
        <v>20</v>
      </c>
      <c r="Z13" s="64" t="s">
        <v>20</v>
      </c>
      <c r="AA13" s="64" t="s">
        <v>20</v>
      </c>
      <c r="AB13" s="64" t="s">
        <v>20</v>
      </c>
      <c r="AC13" s="64" t="s">
        <v>20</v>
      </c>
      <c r="AD13" s="64" t="s">
        <v>20</v>
      </c>
      <c r="AE13" s="64" t="s">
        <v>8</v>
      </c>
      <c r="AF13" s="64" t="s">
        <v>17</v>
      </c>
      <c r="AG13" s="64" t="s">
        <v>17</v>
      </c>
      <c r="AH13" s="64" t="s">
        <v>17</v>
      </c>
      <c r="AI13" s="64" t="s">
        <v>17</v>
      </c>
      <c r="AJ13" s="64" t="s">
        <v>17</v>
      </c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  <c r="EU13" s="64"/>
      <c r="EV13" s="64"/>
      <c r="EW13" s="64"/>
      <c r="EX13" s="64"/>
      <c r="EY13" s="64"/>
      <c r="EZ13" s="64"/>
      <c r="FA13" s="64"/>
      <c r="FB13" s="64"/>
      <c r="FC13" s="64"/>
      <c r="FD13" s="64"/>
      <c r="FE13" s="64"/>
      <c r="FF13" s="64"/>
      <c r="FG13" s="64"/>
      <c r="FH13" s="64"/>
      <c r="FI13" s="64"/>
      <c r="FJ13" s="64"/>
      <c r="FK13" s="64"/>
      <c r="FL13" s="64"/>
      <c r="FM13" s="64"/>
      <c r="FN13" s="64"/>
      <c r="FO13" s="64"/>
      <c r="FP13" s="64"/>
      <c r="FQ13" s="64"/>
      <c r="FR13" s="64"/>
      <c r="FS13" s="64"/>
      <c r="FT13" s="64"/>
      <c r="FU13" s="64"/>
      <c r="FV13" s="64"/>
      <c r="FW13" s="64"/>
      <c r="FX13" s="64"/>
      <c r="FY13" s="64"/>
      <c r="FZ13" s="64"/>
      <c r="GA13" s="64"/>
      <c r="GB13" s="64"/>
      <c r="GC13" s="64"/>
      <c r="GD13" s="64"/>
      <c r="GE13" s="64"/>
      <c r="GF13" s="64"/>
      <c r="GG13" s="64"/>
      <c r="GH13" s="64"/>
      <c r="GI13" s="64"/>
      <c r="GJ13" s="64"/>
      <c r="GK13" s="64"/>
      <c r="GL13" s="64"/>
      <c r="GM13" s="64"/>
      <c r="GN13" s="64"/>
      <c r="GO13" s="64"/>
      <c r="GP13" s="64"/>
      <c r="GQ13" s="64"/>
      <c r="GR13" s="64"/>
      <c r="GS13" s="64"/>
      <c r="GT13" s="64"/>
      <c r="GU13" s="64"/>
      <c r="GV13" s="64"/>
      <c r="GW13" s="64"/>
      <c r="GX13" s="64"/>
      <c r="GY13" s="64"/>
      <c r="GZ13" s="64"/>
      <c r="HA13" s="64"/>
      <c r="HB13" s="64"/>
      <c r="HC13" s="64"/>
      <c r="HD13" s="64"/>
      <c r="HE13" s="64"/>
      <c r="HF13" s="64"/>
      <c r="HG13" s="64"/>
      <c r="HH13" s="64"/>
      <c r="HI13" s="64"/>
      <c r="HJ13" s="64"/>
      <c r="HK13" s="64"/>
      <c r="HL13" s="64"/>
      <c r="HM13" s="64"/>
      <c r="HN13" s="64"/>
      <c r="HO13" s="64"/>
      <c r="HP13" s="64"/>
      <c r="HQ13" s="64"/>
      <c r="HR13" s="64"/>
      <c r="HS13" s="64"/>
      <c r="HT13" s="64"/>
      <c r="HU13" s="64"/>
      <c r="HV13" s="64"/>
      <c r="HW13" s="64"/>
      <c r="HX13" s="64"/>
      <c r="HY13" s="64"/>
      <c r="HZ13" s="64"/>
      <c r="IA13" s="64"/>
      <c r="IB13" s="64"/>
      <c r="IC13" s="64"/>
      <c r="ID13" s="64"/>
      <c r="IE13" s="64"/>
      <c r="IF13" s="64"/>
      <c r="IG13" s="64"/>
      <c r="IH13" s="64"/>
      <c r="II13" s="64"/>
      <c r="IJ13" s="64"/>
      <c r="IK13" s="64"/>
      <c r="IL13" s="64"/>
      <c r="IM13" s="64"/>
      <c r="IN13" s="64"/>
      <c r="IO13" s="64"/>
      <c r="IP13" s="64"/>
      <c r="IQ13" s="64"/>
      <c r="IR13" s="64"/>
      <c r="IS13" s="64"/>
      <c r="IT13" s="64"/>
      <c r="IU13" s="64"/>
      <c r="IV13" s="64"/>
      <c r="IW13" s="64"/>
      <c r="IX13" s="64"/>
      <c r="IY13" s="64"/>
      <c r="IZ13" s="64"/>
      <c r="JA13" s="64"/>
      <c r="JB13" s="64"/>
      <c r="JC13" s="64"/>
      <c r="JD13" s="64"/>
      <c r="JE13" s="64"/>
      <c r="JF13" s="64"/>
      <c r="JG13" s="64"/>
      <c r="JH13" s="64"/>
      <c r="JI13" s="64"/>
      <c r="JJ13" s="64"/>
      <c r="JK13" s="64"/>
      <c r="JL13" s="64"/>
      <c r="JM13" s="64"/>
      <c r="JN13" s="64"/>
      <c r="JO13" s="64"/>
      <c r="JP13" s="64"/>
      <c r="JQ13" s="64"/>
      <c r="JR13" s="64"/>
      <c r="JS13" s="64"/>
      <c r="JT13" s="64"/>
      <c r="JU13" s="64"/>
      <c r="JV13" s="64"/>
      <c r="JW13" s="64"/>
      <c r="JX13" s="64"/>
      <c r="JY13" s="64"/>
      <c r="JZ13" s="64"/>
      <c r="KA13" s="64"/>
      <c r="KB13" s="64"/>
      <c r="KC13" s="64"/>
      <c r="KD13" s="64"/>
      <c r="KE13" s="64"/>
      <c r="KF13" s="64"/>
      <c r="KG13" s="64"/>
      <c r="KH13" s="64"/>
      <c r="KI13" s="64"/>
      <c r="KJ13" s="64"/>
      <c r="KK13" s="64"/>
      <c r="KL13" s="64"/>
      <c r="KM13" s="64"/>
      <c r="KN13" s="64"/>
      <c r="KO13" s="64"/>
      <c r="KP13" s="64"/>
      <c r="KQ13" s="64"/>
      <c r="KR13" s="64"/>
      <c r="KS13" s="64"/>
      <c r="KT13" s="64"/>
      <c r="KU13" s="64"/>
      <c r="KV13" s="64"/>
      <c r="KW13" s="64"/>
      <c r="KX13" s="64"/>
      <c r="KY13" s="64"/>
      <c r="KZ13" s="64"/>
      <c r="LA13" s="64"/>
      <c r="LB13" s="64"/>
      <c r="LC13" s="64"/>
      <c r="LD13" s="64"/>
      <c r="LE13" s="64"/>
      <c r="LF13" s="64"/>
      <c r="LG13" s="64"/>
      <c r="LH13" s="64"/>
      <c r="LI13" s="64"/>
      <c r="LJ13" s="64"/>
      <c r="LK13" s="64"/>
      <c r="LL13" s="64"/>
      <c r="LM13" s="64"/>
      <c r="LN13" s="64"/>
      <c r="LO13" s="64"/>
      <c r="LP13" s="64"/>
      <c r="LQ13" s="64"/>
      <c r="LR13" s="64"/>
      <c r="LS13" s="64"/>
      <c r="LT13" s="64"/>
      <c r="LU13" s="64"/>
      <c r="LV13" s="64"/>
      <c r="LW13" s="64"/>
      <c r="LX13" s="64"/>
      <c r="LY13" s="64"/>
      <c r="LZ13" s="64"/>
      <c r="MA13" s="64"/>
      <c r="MB13" s="64"/>
      <c r="MC13" s="64"/>
      <c r="MD13" s="64"/>
      <c r="ME13" s="64"/>
      <c r="MF13" s="64"/>
      <c r="MG13" s="64"/>
      <c r="MH13" s="64"/>
      <c r="MI13" s="64"/>
      <c r="MJ13" s="64"/>
      <c r="MK13" s="64"/>
      <c r="ML13" s="64"/>
      <c r="MM13" s="64"/>
      <c r="MN13" s="64"/>
      <c r="MO13" s="64"/>
      <c r="MP13" s="64"/>
      <c r="MQ13" s="64"/>
      <c r="MR13" s="64"/>
      <c r="MS13" s="64"/>
      <c r="MT13" s="64"/>
      <c r="MU13" s="64"/>
      <c r="MV13" s="64"/>
      <c r="MW13" s="64"/>
      <c r="MX13" s="64"/>
      <c r="MY13" s="64"/>
      <c r="MZ13" s="64"/>
      <c r="NA13" s="64"/>
      <c r="NB13" s="64"/>
      <c r="NC13" s="64"/>
      <c r="ND13" s="64"/>
      <c r="NE13" s="64"/>
      <c r="NF13" s="64"/>
      <c r="NG13" s="64"/>
      <c r="NH13" s="64"/>
      <c r="NI13" s="64"/>
      <c r="NJ13" s="64"/>
      <c r="NK13" s="64"/>
      <c r="NL13" s="64"/>
      <c r="NM13" s="64"/>
      <c r="NN13" s="64"/>
      <c r="NO13" s="64"/>
      <c r="NP13" s="64"/>
      <c r="NQ13" s="64"/>
      <c r="NR13" s="64"/>
      <c r="NS13" s="64"/>
      <c r="NT13" s="64"/>
      <c r="NU13" s="64"/>
      <c r="NV13" s="64"/>
      <c r="NW13" s="64"/>
      <c r="NX13" s="64"/>
      <c r="NY13" s="64"/>
      <c r="NZ13" s="64"/>
      <c r="OA13" s="64"/>
      <c r="OB13" s="64"/>
      <c r="OC13" s="64"/>
      <c r="OD13" s="64"/>
      <c r="OE13" s="64"/>
      <c r="OF13" s="64"/>
      <c r="OG13" s="64"/>
      <c r="OH13" s="64"/>
      <c r="OI13" s="64"/>
      <c r="OJ13" s="64"/>
      <c r="OK13" s="64"/>
      <c r="OL13" s="64"/>
      <c r="OM13" s="64"/>
      <c r="ON13" s="64"/>
      <c r="OO13" s="64"/>
      <c r="OP13" s="64"/>
      <c r="OQ13" s="64"/>
      <c r="OR13" s="64"/>
      <c r="OS13" s="64"/>
      <c r="OT13" s="64"/>
      <c r="OU13" s="64"/>
      <c r="OV13" s="64"/>
      <c r="OW13" s="64"/>
      <c r="OX13" s="64"/>
      <c r="OY13" s="64"/>
      <c r="OZ13" s="64"/>
      <c r="PA13" s="64"/>
      <c r="PB13" s="64"/>
      <c r="PC13" s="64"/>
      <c r="PD13" s="64"/>
      <c r="PE13" s="64"/>
      <c r="PF13" s="64"/>
      <c r="PG13" s="64"/>
      <c r="PH13" s="64"/>
      <c r="PI13" s="64"/>
      <c r="PJ13" s="64"/>
      <c r="PK13" s="64"/>
      <c r="PL13" s="64"/>
      <c r="PM13" s="64"/>
      <c r="PN13" s="64"/>
      <c r="PO13" s="64"/>
      <c r="PP13" s="64"/>
      <c r="PQ13" s="64"/>
      <c r="PR13" s="64"/>
      <c r="PS13" s="64"/>
      <c r="PT13" s="64"/>
      <c r="PU13" s="64"/>
      <c r="PV13" s="64"/>
      <c r="PW13" s="64"/>
      <c r="PX13" s="64"/>
      <c r="PY13" s="64"/>
      <c r="PZ13" s="64"/>
      <c r="QA13" s="64"/>
      <c r="QB13" s="64"/>
      <c r="QC13" s="64"/>
      <c r="QD13" s="64"/>
      <c r="QE13" s="64"/>
      <c r="QF13" s="64"/>
      <c r="QG13" s="64"/>
      <c r="QH13" s="64"/>
      <c r="QI13" s="64"/>
      <c r="QJ13" s="64"/>
      <c r="QK13" s="64"/>
      <c r="QL13" s="64"/>
      <c r="QM13" s="64"/>
      <c r="QN13" s="64"/>
      <c r="QO13" s="64"/>
      <c r="QP13" s="64"/>
      <c r="QQ13" s="64"/>
      <c r="QR13" s="64"/>
      <c r="QS13" s="64"/>
      <c r="QT13" s="64"/>
      <c r="QU13" s="64"/>
      <c r="QV13" s="64"/>
      <c r="QW13" s="64"/>
      <c r="QX13" s="64"/>
      <c r="QY13" s="64"/>
      <c r="QZ13" s="64"/>
      <c r="RA13" s="64"/>
      <c r="RB13" s="64"/>
      <c r="RC13" s="64"/>
      <c r="RD13" s="64"/>
      <c r="RE13" s="64"/>
      <c r="RF13" s="64"/>
      <c r="RG13" s="64"/>
      <c r="RH13" s="64"/>
      <c r="RI13" s="64"/>
      <c r="RJ13" s="64"/>
      <c r="RK13" s="64"/>
      <c r="RL13" s="64"/>
      <c r="RM13" s="64"/>
      <c r="RN13" s="64"/>
      <c r="RO13" s="64"/>
      <c r="RP13" s="64"/>
      <c r="RQ13" s="64"/>
      <c r="RR13" s="64"/>
      <c r="RS13" s="64"/>
      <c r="RT13" s="64"/>
      <c r="RU13" s="64"/>
      <c r="RV13" s="64"/>
      <c r="RW13" s="64"/>
      <c r="RX13" s="64"/>
      <c r="RY13" s="64"/>
      <c r="RZ13" s="64"/>
      <c r="SA13" s="64"/>
      <c r="SB13" s="64"/>
      <c r="SC13" s="64"/>
      <c r="SD13" s="64"/>
      <c r="SE13" s="64"/>
      <c r="SF13" s="64"/>
      <c r="SG13" s="64"/>
      <c r="SH13" s="64"/>
      <c r="SI13" s="64"/>
      <c r="SJ13" s="64"/>
      <c r="SK13" s="64"/>
      <c r="SL13" s="64"/>
      <c r="SM13" s="64"/>
      <c r="SN13" s="64"/>
    </row>
    <row r="14" spans="2:537">
      <c r="B14" s="135">
        <v>6</v>
      </c>
      <c r="C14" s="135"/>
      <c r="D14" s="135" t="s">
        <v>7</v>
      </c>
      <c r="E14" s="150"/>
      <c r="F14" s="151"/>
      <c r="G14" s="64" t="s">
        <v>1</v>
      </c>
      <c r="H14" s="64" t="s">
        <v>1</v>
      </c>
      <c r="I14" s="64" t="s">
        <v>201</v>
      </c>
      <c r="J14" s="64" t="s">
        <v>349</v>
      </c>
      <c r="K14" s="64" t="s">
        <v>349</v>
      </c>
      <c r="L14" s="64" t="s">
        <v>20</v>
      </c>
      <c r="M14" s="64" t="s">
        <v>20</v>
      </c>
      <c r="N14" s="64" t="s">
        <v>20</v>
      </c>
      <c r="O14" s="64" t="s">
        <v>20</v>
      </c>
      <c r="P14" s="64" t="s">
        <v>20</v>
      </c>
      <c r="Q14" s="64" t="s">
        <v>20</v>
      </c>
      <c r="R14" s="64" t="s">
        <v>20</v>
      </c>
      <c r="S14" s="64" t="s">
        <v>8</v>
      </c>
      <c r="T14" s="64" t="s">
        <v>17</v>
      </c>
      <c r="U14" s="64" t="s">
        <v>17</v>
      </c>
      <c r="V14" s="64" t="s">
        <v>17</v>
      </c>
      <c r="W14" s="64" t="s">
        <v>201</v>
      </c>
      <c r="X14" s="64" t="s">
        <v>20</v>
      </c>
      <c r="Y14" s="64" t="s">
        <v>20</v>
      </c>
      <c r="Z14" s="64" t="s">
        <v>20</v>
      </c>
      <c r="AA14" s="64" t="s">
        <v>20</v>
      </c>
      <c r="AB14" s="64" t="s">
        <v>20</v>
      </c>
      <c r="AC14" s="64" t="s">
        <v>20</v>
      </c>
      <c r="AD14" s="64" t="s">
        <v>20</v>
      </c>
      <c r="AE14" s="64" t="s">
        <v>20</v>
      </c>
      <c r="AF14" s="64" t="s">
        <v>20</v>
      </c>
      <c r="AG14" s="64" t="s">
        <v>20</v>
      </c>
      <c r="AH14" s="64" t="s">
        <v>20</v>
      </c>
      <c r="AI14" s="64" t="s">
        <v>20</v>
      </c>
      <c r="AJ14" s="64" t="s">
        <v>20</v>
      </c>
      <c r="AK14" s="64" t="s">
        <v>8</v>
      </c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  <c r="EU14" s="64"/>
      <c r="EV14" s="64"/>
      <c r="EW14" s="64"/>
      <c r="EX14" s="64"/>
      <c r="EY14" s="64"/>
      <c r="EZ14" s="64"/>
      <c r="FA14" s="64"/>
      <c r="FB14" s="64"/>
      <c r="FC14" s="64"/>
      <c r="FD14" s="64"/>
      <c r="FE14" s="64"/>
      <c r="FF14" s="64"/>
      <c r="FG14" s="64"/>
      <c r="FH14" s="64"/>
      <c r="FI14" s="64"/>
      <c r="FJ14" s="64"/>
      <c r="FK14" s="64"/>
      <c r="FL14" s="64"/>
      <c r="FM14" s="64"/>
      <c r="FN14" s="64"/>
      <c r="FO14" s="64"/>
      <c r="FP14" s="64"/>
      <c r="FQ14" s="64"/>
      <c r="FR14" s="64"/>
      <c r="FS14" s="64"/>
      <c r="FT14" s="64"/>
      <c r="FU14" s="64"/>
      <c r="FV14" s="64"/>
      <c r="FW14" s="64"/>
      <c r="FX14" s="64"/>
      <c r="FY14" s="64"/>
      <c r="FZ14" s="64"/>
      <c r="GA14" s="64"/>
      <c r="GB14" s="64"/>
      <c r="GC14" s="64"/>
      <c r="GD14" s="64"/>
      <c r="GE14" s="64"/>
      <c r="GF14" s="64"/>
      <c r="GG14" s="64"/>
      <c r="GH14" s="64"/>
      <c r="GI14" s="64"/>
      <c r="GJ14" s="64"/>
      <c r="GK14" s="64"/>
      <c r="GL14" s="64"/>
      <c r="GM14" s="64"/>
      <c r="GN14" s="64"/>
      <c r="GO14" s="64"/>
      <c r="GP14" s="64"/>
      <c r="GQ14" s="64"/>
      <c r="GR14" s="64"/>
      <c r="GS14" s="64"/>
      <c r="GT14" s="64"/>
      <c r="GU14" s="64"/>
      <c r="GV14" s="64"/>
      <c r="GW14" s="64"/>
      <c r="GX14" s="64"/>
      <c r="GY14" s="64"/>
      <c r="GZ14" s="64"/>
      <c r="HA14" s="64"/>
      <c r="HB14" s="64"/>
      <c r="HC14" s="64"/>
      <c r="HD14" s="64"/>
      <c r="HE14" s="64"/>
      <c r="HF14" s="64"/>
      <c r="HG14" s="64"/>
      <c r="HH14" s="64"/>
      <c r="HI14" s="64"/>
      <c r="HJ14" s="64"/>
      <c r="HK14" s="64"/>
      <c r="HL14" s="64"/>
      <c r="HM14" s="64"/>
      <c r="HN14" s="64"/>
      <c r="HO14" s="64"/>
      <c r="HP14" s="64"/>
      <c r="HQ14" s="64"/>
      <c r="HR14" s="64"/>
      <c r="HS14" s="64"/>
      <c r="HT14" s="64"/>
      <c r="HU14" s="64"/>
      <c r="HV14" s="64"/>
      <c r="HW14" s="64"/>
      <c r="HX14" s="64"/>
      <c r="HY14" s="64"/>
      <c r="HZ14" s="64"/>
      <c r="IA14" s="64"/>
      <c r="IB14" s="64"/>
      <c r="IC14" s="64"/>
      <c r="ID14" s="64"/>
      <c r="IE14" s="64"/>
      <c r="IF14" s="64"/>
      <c r="IG14" s="64"/>
      <c r="IH14" s="64"/>
      <c r="II14" s="64"/>
      <c r="IJ14" s="64"/>
      <c r="IK14" s="64"/>
      <c r="IL14" s="64"/>
      <c r="IM14" s="64"/>
      <c r="IN14" s="64"/>
      <c r="IO14" s="64"/>
      <c r="IP14" s="64"/>
      <c r="IQ14" s="64"/>
      <c r="IR14" s="64"/>
      <c r="IS14" s="64"/>
      <c r="IT14" s="64"/>
      <c r="IU14" s="64"/>
      <c r="IV14" s="64"/>
      <c r="IW14" s="64"/>
      <c r="IX14" s="64"/>
      <c r="IY14" s="64"/>
      <c r="IZ14" s="64"/>
      <c r="JA14" s="64"/>
      <c r="JB14" s="64"/>
      <c r="JC14" s="64"/>
      <c r="JD14" s="64"/>
      <c r="JE14" s="64"/>
      <c r="JF14" s="64"/>
      <c r="JG14" s="64"/>
      <c r="JH14" s="64"/>
      <c r="JI14" s="64"/>
      <c r="JJ14" s="64"/>
      <c r="JK14" s="64"/>
      <c r="JL14" s="64"/>
      <c r="JM14" s="64"/>
      <c r="JN14" s="64"/>
      <c r="JO14" s="64"/>
      <c r="JP14" s="64"/>
      <c r="JQ14" s="64"/>
      <c r="JR14" s="64"/>
      <c r="JS14" s="64"/>
      <c r="JT14" s="64"/>
      <c r="JU14" s="64"/>
      <c r="JV14" s="64"/>
      <c r="JW14" s="64"/>
      <c r="JX14" s="64"/>
      <c r="JY14" s="64"/>
      <c r="JZ14" s="64"/>
      <c r="KA14" s="64"/>
      <c r="KB14" s="64"/>
      <c r="KC14" s="64"/>
      <c r="KD14" s="64"/>
      <c r="KE14" s="64"/>
      <c r="KF14" s="64"/>
      <c r="KG14" s="64"/>
      <c r="KH14" s="64"/>
      <c r="KI14" s="64"/>
      <c r="KJ14" s="64"/>
      <c r="KK14" s="64"/>
      <c r="KL14" s="64"/>
      <c r="KM14" s="64"/>
      <c r="KN14" s="64"/>
      <c r="KO14" s="64"/>
      <c r="KP14" s="64"/>
      <c r="KQ14" s="64"/>
      <c r="KR14" s="64"/>
      <c r="KS14" s="64"/>
      <c r="KT14" s="64"/>
      <c r="KU14" s="64"/>
      <c r="KV14" s="64"/>
      <c r="KW14" s="64"/>
      <c r="KX14" s="64"/>
      <c r="KY14" s="64"/>
      <c r="KZ14" s="64"/>
      <c r="LA14" s="64"/>
      <c r="LB14" s="64"/>
      <c r="LC14" s="64"/>
      <c r="LD14" s="64"/>
      <c r="LE14" s="64"/>
      <c r="LF14" s="64"/>
      <c r="LG14" s="64"/>
      <c r="LH14" s="64"/>
      <c r="LI14" s="64"/>
      <c r="LJ14" s="64"/>
      <c r="LK14" s="64"/>
      <c r="LL14" s="64"/>
      <c r="LM14" s="64"/>
      <c r="LN14" s="64"/>
      <c r="LO14" s="64"/>
      <c r="LP14" s="64"/>
      <c r="LQ14" s="64"/>
      <c r="LR14" s="64"/>
      <c r="LS14" s="64"/>
      <c r="LT14" s="64"/>
      <c r="LU14" s="64"/>
      <c r="LV14" s="64"/>
      <c r="LW14" s="64"/>
      <c r="LX14" s="64"/>
      <c r="LY14" s="64"/>
      <c r="LZ14" s="64"/>
      <c r="MA14" s="64"/>
      <c r="MB14" s="64"/>
      <c r="MC14" s="64"/>
      <c r="MD14" s="64"/>
      <c r="ME14" s="64"/>
      <c r="MF14" s="64"/>
      <c r="MG14" s="64"/>
      <c r="MH14" s="64"/>
      <c r="MI14" s="64"/>
      <c r="MJ14" s="64"/>
      <c r="MK14" s="64"/>
      <c r="ML14" s="64"/>
      <c r="MM14" s="64"/>
      <c r="MN14" s="64"/>
      <c r="MO14" s="64"/>
      <c r="MP14" s="64"/>
      <c r="MQ14" s="64"/>
      <c r="MR14" s="64"/>
      <c r="MS14" s="64"/>
      <c r="MT14" s="64"/>
      <c r="MU14" s="64"/>
      <c r="MV14" s="64"/>
      <c r="MW14" s="64"/>
      <c r="MX14" s="64"/>
      <c r="MY14" s="64"/>
      <c r="MZ14" s="64"/>
      <c r="NA14" s="64"/>
      <c r="NB14" s="64"/>
      <c r="NC14" s="64"/>
      <c r="ND14" s="64"/>
      <c r="NE14" s="64"/>
      <c r="NF14" s="64"/>
      <c r="NG14" s="64"/>
      <c r="NH14" s="64"/>
      <c r="NI14" s="64"/>
      <c r="NJ14" s="64"/>
      <c r="NK14" s="64"/>
      <c r="NL14" s="64"/>
      <c r="NM14" s="64"/>
      <c r="NN14" s="64"/>
      <c r="NO14" s="64"/>
      <c r="NP14" s="64"/>
      <c r="NQ14" s="64"/>
      <c r="NR14" s="64"/>
      <c r="NS14" s="64"/>
      <c r="NT14" s="64"/>
      <c r="NU14" s="64"/>
      <c r="NV14" s="64"/>
      <c r="NW14" s="64"/>
      <c r="NX14" s="64"/>
      <c r="NY14" s="64"/>
      <c r="NZ14" s="64"/>
      <c r="OA14" s="64"/>
      <c r="OB14" s="64"/>
      <c r="OC14" s="64"/>
      <c r="OD14" s="64"/>
      <c r="OE14" s="64"/>
      <c r="OF14" s="64"/>
      <c r="OG14" s="64"/>
      <c r="OH14" s="64"/>
      <c r="OI14" s="64"/>
      <c r="OJ14" s="64"/>
      <c r="OK14" s="64"/>
      <c r="OL14" s="64"/>
      <c r="OM14" s="64"/>
      <c r="ON14" s="64"/>
      <c r="OO14" s="64"/>
      <c r="OP14" s="64"/>
      <c r="OQ14" s="64"/>
      <c r="OR14" s="64"/>
      <c r="OS14" s="64"/>
      <c r="OT14" s="64"/>
      <c r="OU14" s="64"/>
      <c r="OV14" s="64"/>
      <c r="OW14" s="64"/>
      <c r="OX14" s="64"/>
      <c r="OY14" s="64"/>
      <c r="OZ14" s="64"/>
      <c r="PA14" s="64"/>
      <c r="PB14" s="64"/>
      <c r="PC14" s="64"/>
      <c r="PD14" s="64"/>
      <c r="PE14" s="64"/>
      <c r="PF14" s="64"/>
      <c r="PG14" s="64"/>
      <c r="PH14" s="64"/>
      <c r="PI14" s="64"/>
      <c r="PJ14" s="64"/>
      <c r="PK14" s="64"/>
      <c r="PL14" s="64"/>
      <c r="PM14" s="64"/>
      <c r="PN14" s="64"/>
      <c r="PO14" s="64"/>
      <c r="PP14" s="64"/>
      <c r="PQ14" s="64"/>
      <c r="PR14" s="64"/>
      <c r="PS14" s="64"/>
      <c r="PT14" s="64"/>
      <c r="PU14" s="64"/>
      <c r="PV14" s="64"/>
      <c r="PW14" s="64"/>
      <c r="PX14" s="64"/>
      <c r="PY14" s="64"/>
      <c r="PZ14" s="64"/>
      <c r="QA14" s="64"/>
      <c r="QB14" s="64"/>
      <c r="QC14" s="64"/>
      <c r="QD14" s="64"/>
      <c r="QE14" s="64"/>
      <c r="QF14" s="64"/>
      <c r="QG14" s="64"/>
      <c r="QH14" s="64"/>
      <c r="QI14" s="64"/>
      <c r="QJ14" s="64"/>
      <c r="QK14" s="64"/>
      <c r="QL14" s="64"/>
      <c r="QM14" s="64"/>
      <c r="QN14" s="64"/>
      <c r="QO14" s="64"/>
      <c r="QP14" s="64"/>
      <c r="QQ14" s="64"/>
      <c r="QR14" s="64"/>
      <c r="QS14" s="64"/>
      <c r="QT14" s="64"/>
      <c r="QU14" s="64"/>
      <c r="QV14" s="64"/>
      <c r="QW14" s="64"/>
      <c r="QX14" s="64"/>
      <c r="QY14" s="64"/>
      <c r="QZ14" s="64"/>
      <c r="RA14" s="64"/>
      <c r="RB14" s="64"/>
      <c r="RC14" s="64"/>
      <c r="RD14" s="64"/>
      <c r="RE14" s="64"/>
      <c r="RF14" s="64"/>
      <c r="RG14" s="64"/>
      <c r="RH14" s="64"/>
      <c r="RI14" s="64"/>
      <c r="RJ14" s="64"/>
      <c r="RK14" s="64"/>
      <c r="RL14" s="64"/>
      <c r="RM14" s="64"/>
      <c r="RN14" s="64"/>
      <c r="RO14" s="64"/>
      <c r="RP14" s="64"/>
      <c r="RQ14" s="64"/>
      <c r="RR14" s="64"/>
      <c r="RS14" s="64"/>
      <c r="RT14" s="64"/>
      <c r="RU14" s="64"/>
      <c r="RV14" s="64"/>
      <c r="RW14" s="64"/>
      <c r="RX14" s="64"/>
      <c r="RY14" s="64"/>
      <c r="RZ14" s="64"/>
      <c r="SA14" s="64"/>
      <c r="SB14" s="64"/>
      <c r="SC14" s="64"/>
      <c r="SD14" s="64"/>
      <c r="SE14" s="64"/>
      <c r="SF14" s="64"/>
      <c r="SG14" s="64"/>
      <c r="SH14" s="64"/>
      <c r="SI14" s="64"/>
      <c r="SJ14" s="64"/>
      <c r="SK14" s="64"/>
      <c r="SL14" s="64"/>
      <c r="SM14" s="64"/>
      <c r="SN14" s="64"/>
    </row>
    <row r="15" spans="2:537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</row>
    <row r="16" spans="2:537">
      <c r="B16" s="124" t="s">
        <v>350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</row>
    <row r="17" spans="2:420"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</row>
    <row r="18" spans="2:420" ht="69.95" customHeight="1">
      <c r="B18" s="124" t="s">
        <v>221</v>
      </c>
      <c r="C18" s="124" t="s">
        <v>27</v>
      </c>
      <c r="D18" s="213" t="s">
        <v>225</v>
      </c>
      <c r="E18" s="213" t="s">
        <v>226</v>
      </c>
      <c r="F18" s="213" t="s">
        <v>227</v>
      </c>
      <c r="G18" s="214" t="s">
        <v>228</v>
      </c>
      <c r="H18" s="214" t="s">
        <v>229</v>
      </c>
      <c r="I18" s="214" t="s">
        <v>155</v>
      </c>
      <c r="J18" s="214" t="s">
        <v>230</v>
      </c>
      <c r="K18" s="214" t="s">
        <v>231</v>
      </c>
      <c r="L18" s="214" t="s">
        <v>232</v>
      </c>
      <c r="M18" s="214" t="s">
        <v>233</v>
      </c>
      <c r="N18" s="214" t="s">
        <v>234</v>
      </c>
      <c r="O18" s="214" t="s">
        <v>235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</row>
    <row r="19" spans="2:420">
      <c r="B19" s="135">
        <v>1</v>
      </c>
      <c r="C19" s="135" t="s">
        <v>174</v>
      </c>
      <c r="D19" s="141">
        <v>19</v>
      </c>
      <c r="E19" s="141">
        <v>5</v>
      </c>
      <c r="F19" s="141">
        <v>4</v>
      </c>
      <c r="G19" s="126">
        <f>D19*'Datos de entrada MOD'!$T$21+E19*'Datos de entrada MOD'!$T$18+F19*'Datos de entrada MOD'!$T$17</f>
        <v>262</v>
      </c>
      <c r="H19" s="141">
        <v>0</v>
      </c>
      <c r="I19" s="141">
        <v>0</v>
      </c>
      <c r="J19" s="141">
        <v>0</v>
      </c>
      <c r="K19" s="141">
        <v>0</v>
      </c>
      <c r="L19" s="141"/>
      <c r="M19" s="141"/>
      <c r="N19" s="126">
        <f>H19*'Datos de entrada MOD'!$T$22+I19*'Datos de entrada MOD'!$T$19+J19*'Datos de entrada MOD'!$T$20+K19*'Datos de entrada MOD'!$T$23</f>
        <v>0</v>
      </c>
      <c r="O19" s="126">
        <v>32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</row>
    <row r="20" spans="2:420">
      <c r="B20" s="135">
        <v>2</v>
      </c>
      <c r="C20" s="135"/>
      <c r="D20" s="141">
        <v>12</v>
      </c>
      <c r="E20" s="141">
        <v>6</v>
      </c>
      <c r="F20" s="141">
        <v>2</v>
      </c>
      <c r="G20" s="126">
        <f>D20*'Datos de entrada MOD'!$T$21+E20*'Datos de entrada MOD'!$T$18+F20*'Datos de entrada MOD'!$T$17</f>
        <v>184</v>
      </c>
      <c r="H20" s="141">
        <v>0</v>
      </c>
      <c r="I20" s="141">
        <v>0</v>
      </c>
      <c r="J20" s="141">
        <v>0</v>
      </c>
      <c r="K20" s="141">
        <v>0</v>
      </c>
      <c r="L20" s="141"/>
      <c r="M20" s="141"/>
      <c r="N20" s="126">
        <f>H20*'Datos de entrada MOD'!$T$22+I20*'Datos de entrada MOD'!$T$19+J20*'Datos de entrada MOD'!$T$20+K20*'Datos de entrada MOD'!$T$23</f>
        <v>0</v>
      </c>
      <c r="O20" s="126">
        <v>24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</row>
    <row r="21" spans="2:420">
      <c r="B21" s="135">
        <v>3</v>
      </c>
      <c r="C21" s="135"/>
      <c r="D21" s="141">
        <v>21</v>
      </c>
      <c r="E21" s="141">
        <v>3</v>
      </c>
      <c r="F21" s="141">
        <v>4</v>
      </c>
      <c r="G21" s="126">
        <f>D21*'Datos de entrada MOD'!$T$21+E21*'Datos de entrada MOD'!$T$18+F21*'Datos de entrada MOD'!$T$17</f>
        <v>266</v>
      </c>
      <c r="H21" s="141">
        <v>0</v>
      </c>
      <c r="I21" s="141">
        <v>0</v>
      </c>
      <c r="J21" s="141">
        <v>0</v>
      </c>
      <c r="K21" s="141">
        <v>0</v>
      </c>
      <c r="L21" s="141"/>
      <c r="M21" s="141"/>
      <c r="N21" s="126">
        <f>H21*'Datos de entrada MOD'!$T$22+I21*'Datos de entrada MOD'!$T$19+J21*'Datos de entrada MOD'!$T$20+K21*'Datos de entrada MOD'!$T$23</f>
        <v>0</v>
      </c>
      <c r="O21" s="126">
        <v>32</v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</row>
    <row r="22" spans="2:420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</row>
    <row r="23" spans="2:420">
      <c r="B23" s="125" t="s">
        <v>236</v>
      </c>
      <c r="C23" s="124"/>
      <c r="D23" s="141">
        <f>SUM(G19:G21,N19:N21)</f>
        <v>712</v>
      </c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</row>
    <row r="24" spans="2:420">
      <c r="B24" s="125" t="s">
        <v>237</v>
      </c>
      <c r="C24" s="124"/>
      <c r="D24" s="141">
        <v>28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</row>
    <row r="25" spans="2:420">
      <c r="B25" s="125" t="s">
        <v>238</v>
      </c>
      <c r="C25" s="124"/>
      <c r="D25" s="141">
        <f>SUM(O19:O21)</f>
        <v>88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</row>
    <row r="26" spans="2:420">
      <c r="B26" s="125" t="s">
        <v>239</v>
      </c>
      <c r="C26" s="124"/>
      <c r="D26" s="141">
        <f>D25</f>
        <v>88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</row>
    <row r="27" spans="2:420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</row>
    <row r="28" spans="2:420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</row>
    <row r="29" spans="2:420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</row>
    <row r="30" spans="2:420">
      <c r="B30" s="124" t="s">
        <v>359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</row>
    <row r="31" spans="2:420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</row>
    <row r="32" spans="2:420" ht="69.95" customHeight="1">
      <c r="B32" s="124" t="s">
        <v>221</v>
      </c>
      <c r="C32" s="124" t="s">
        <v>27</v>
      </c>
      <c r="D32" s="213" t="s">
        <v>225</v>
      </c>
      <c r="E32" s="213" t="s">
        <v>226</v>
      </c>
      <c r="F32" s="213" t="s">
        <v>227</v>
      </c>
      <c r="G32" s="214" t="s">
        <v>228</v>
      </c>
      <c r="H32" s="214" t="s">
        <v>229</v>
      </c>
      <c r="I32" s="214" t="s">
        <v>155</v>
      </c>
      <c r="J32" s="214" t="s">
        <v>230</v>
      </c>
      <c r="K32" s="214" t="s">
        <v>231</v>
      </c>
      <c r="L32" s="214" t="s">
        <v>232</v>
      </c>
      <c r="M32" s="214" t="s">
        <v>233</v>
      </c>
      <c r="N32" s="214" t="s">
        <v>234</v>
      </c>
      <c r="O32" s="214" t="s">
        <v>235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</row>
    <row r="33" spans="2:420">
      <c r="B33" s="135">
        <v>1</v>
      </c>
      <c r="C33" s="135" t="s">
        <v>174</v>
      </c>
      <c r="D33" s="141">
        <v>18</v>
      </c>
      <c r="E33" s="141">
        <v>5</v>
      </c>
      <c r="F33" s="141">
        <v>4</v>
      </c>
      <c r="G33" s="126">
        <f>D33*'Datos de entrada MOD'!$T$21+E33*'Datos de entrada MOD'!$T$18+F33*'Datos de entrada MOD'!$T$17</f>
        <v>252</v>
      </c>
      <c r="H33" s="141">
        <v>0</v>
      </c>
      <c r="I33" s="141">
        <v>0</v>
      </c>
      <c r="J33" s="141">
        <v>0</v>
      </c>
      <c r="K33" s="141">
        <v>0</v>
      </c>
      <c r="L33" s="141"/>
      <c r="M33" s="141"/>
      <c r="N33" s="126">
        <f>H33*'Datos de entrada MOD'!$T$22+I33*'Datos de entrada MOD'!$T$19+J33*'Datos de entrada MOD'!$T$20+K33*'Datos de entrada MOD'!$T$23</f>
        <v>0</v>
      </c>
      <c r="O33" s="126">
        <v>31</v>
      </c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</row>
    <row r="34" spans="2:420">
      <c r="B34" s="135">
        <v>2</v>
      </c>
      <c r="C34" s="135"/>
      <c r="D34" s="141">
        <v>12</v>
      </c>
      <c r="E34" s="141">
        <v>5</v>
      </c>
      <c r="F34" s="141">
        <v>2</v>
      </c>
      <c r="G34" s="126">
        <f>D34*'Datos de entrada MOD'!$T$21+E34*'Datos de entrada MOD'!$T$18+F34*'Datos de entrada MOD'!$T$17</f>
        <v>176</v>
      </c>
      <c r="H34" s="141">
        <v>0</v>
      </c>
      <c r="I34" s="141">
        <v>0</v>
      </c>
      <c r="J34" s="141">
        <v>0</v>
      </c>
      <c r="K34" s="141">
        <v>0</v>
      </c>
      <c r="L34" s="141"/>
      <c r="M34" s="141"/>
      <c r="N34" s="126">
        <f>H34*'Datos de entrada MOD'!$T$22+I34*'Datos de entrada MOD'!$T$19+J34*'Datos de entrada MOD'!$T$20+K34*'Datos de entrada MOD'!$T$23</f>
        <v>0</v>
      </c>
      <c r="O34" s="126">
        <v>23</v>
      </c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</row>
    <row r="35" spans="2:420">
      <c r="B35" s="135">
        <v>3</v>
      </c>
      <c r="C35" s="135"/>
      <c r="D35" s="141">
        <v>20</v>
      </c>
      <c r="E35" s="141">
        <v>3</v>
      </c>
      <c r="F35" s="141">
        <v>4</v>
      </c>
      <c r="G35" s="126">
        <f>D35*'Datos de entrada MOD'!$T$21+E35*'Datos de entrada MOD'!$T$18+F35*'Datos de entrada MOD'!$T$17</f>
        <v>256</v>
      </c>
      <c r="H35" s="141">
        <v>0</v>
      </c>
      <c r="I35" s="141">
        <v>0</v>
      </c>
      <c r="J35" s="141">
        <v>0</v>
      </c>
      <c r="K35" s="141">
        <v>0</v>
      </c>
      <c r="L35" s="141"/>
      <c r="M35" s="141"/>
      <c r="N35" s="126">
        <f>H35*'Datos de entrada MOD'!$T$22+I35*'Datos de entrada MOD'!$T$19+J35*'Datos de entrada MOD'!$T$20+K35*'Datos de entrada MOD'!$T$23</f>
        <v>0</v>
      </c>
      <c r="O35" s="126">
        <v>31</v>
      </c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</row>
    <row r="36" spans="2:420"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</row>
    <row r="37" spans="2:420">
      <c r="B37" s="125" t="s">
        <v>236</v>
      </c>
      <c r="C37" s="124"/>
      <c r="D37" s="141">
        <f>SUM(G33:G35,N33:N35)</f>
        <v>684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</row>
    <row r="38" spans="2:420">
      <c r="B38" s="125" t="s">
        <v>237</v>
      </c>
      <c r="C38" s="124"/>
      <c r="D38" s="141">
        <v>27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</row>
    <row r="39" spans="2:420">
      <c r="B39" s="125" t="s">
        <v>238</v>
      </c>
      <c r="C39" s="124"/>
      <c r="D39" s="141">
        <f>SUM(O33:O35)</f>
        <v>85</v>
      </c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</row>
    <row r="40" spans="2:420">
      <c r="B40" s="125" t="s">
        <v>239</v>
      </c>
      <c r="C40" s="124"/>
      <c r="D40" s="141">
        <f>D39</f>
        <v>85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</row>
    <row r="41" spans="2:420"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</row>
    <row r="42" spans="2:420"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</row>
    <row r="43" spans="2:420"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</row>
    <row r="44" spans="2:420"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</row>
    <row r="45" spans="2:420"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</row>
    <row r="46" spans="2:420" ht="69.95" customHeight="1"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</row>
    <row r="47" spans="2:420"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</row>
    <row r="48" spans="2:420"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 ht="69.95" customHeigh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 ht="69.95" customHeigh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 ht="69.95" customHeigh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</sheetData>
  <mergeCells count="8">
    <mergeCell ref="G4:K4"/>
    <mergeCell ref="L4:S4"/>
    <mergeCell ref="T4:AA4"/>
    <mergeCell ref="AB4:AK4"/>
    <mergeCell ref="G11:K11"/>
    <mergeCell ref="L11:T11"/>
    <mergeCell ref="U11:AB11"/>
    <mergeCell ref="AC11:AJ11"/>
  </mergeCells>
  <conditionalFormatting sqref="G5:SN7">
    <cfRule type="cellIs" dxfId="39" priority="19" operator="equal">
      <formula>"S"</formula>
    </cfRule>
    <cfRule type="cellIs" dxfId="38" priority="20" operator="equal">
      <formula>"IC"</formula>
    </cfRule>
    <cfRule type="cellIs" dxfId="37" priority="21" operator="equal">
      <formula>"DS"</formula>
    </cfRule>
    <cfRule type="cellIs" dxfId="36" priority="22" operator="equal">
      <formula>"V"</formula>
    </cfRule>
    <cfRule type="cellIs" dxfId="35" priority="23" operator="equal">
      <formula>""""""</formula>
    </cfRule>
    <cfRule type="cellIs" dxfId="34" priority="24" operator="equal">
      <formula>"H"</formula>
    </cfRule>
    <cfRule type="cellIs" dxfId="33" priority="25" operator="equal">
      <formula>"I"</formula>
    </cfRule>
    <cfRule type="cellIs" dxfId="32" priority="26" operator="equal">
      <formula>"D"</formula>
    </cfRule>
    <cfRule type="cellIs" dxfId="31" priority="27" operator="equal">
      <formula>"EM"</formula>
    </cfRule>
    <cfRule type="cellIs" dxfId="30" priority="28" operator="equal">
      <formula>"X"</formula>
    </cfRule>
  </conditionalFormatting>
  <conditionalFormatting sqref="G12:SN14">
    <cfRule type="cellIs" dxfId="29" priority="5" operator="equal">
      <formula>"S"</formula>
    </cfRule>
    <cfRule type="cellIs" dxfId="28" priority="6" operator="equal">
      <formula>"IC"</formula>
    </cfRule>
    <cfRule type="cellIs" dxfId="27" priority="7" operator="equal">
      <formula>"DS"</formula>
    </cfRule>
    <cfRule type="cellIs" dxfId="26" priority="8" operator="equal">
      <formula>"V"</formula>
    </cfRule>
    <cfRule type="cellIs" dxfId="25" priority="9" operator="equal">
      <formula>""""""</formula>
    </cfRule>
    <cfRule type="cellIs" dxfId="24" priority="10" operator="equal">
      <formula>"H"</formula>
    </cfRule>
    <cfRule type="cellIs" dxfId="23" priority="11" operator="equal">
      <formula>"I"</formula>
    </cfRule>
    <cfRule type="cellIs" dxfId="22" priority="12" operator="equal">
      <formula>"D"</formula>
    </cfRule>
    <cfRule type="cellIs" dxfId="21" priority="13" operator="equal">
      <formula>"EM"</formula>
    </cfRule>
    <cfRule type="cellIs" dxfId="20" priority="14" operator="equal">
      <formula>"X"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4" name="Button 1">
              <controlPr defaultSize="0" print="0" autoFill="0" autoPict="0" macro="[0]!GenerateSchedule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733425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4" r:id="rId5" name="Button 2">
              <controlPr defaultSize="0" print="0" autoFill="0" autoPict="0" macro="[0]!copySchedule">
                <anchor moveWithCells="1" sizeWithCells="1">
                  <from>
                    <xdr:col>0</xdr:col>
                    <xdr:colOff>19050</xdr:colOff>
                    <xdr:row>3</xdr:row>
                    <xdr:rowOff>209550</xdr:rowOff>
                  </from>
                  <to>
                    <xdr:col>0</xdr:col>
                    <xdr:colOff>723900</xdr:colOff>
                    <xdr:row>3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5" r:id="rId6" name="Button 3">
              <controlPr defaultSize="0" print="0" autoFill="0" autoPict="0" macro="[0]!DelCurrentSheet">
                <anchor moveWithCells="1" sizeWithCells="1">
                  <from>
                    <xdr:col>0</xdr:col>
                    <xdr:colOff>9525</xdr:colOff>
                    <xdr:row>4</xdr:row>
                    <xdr:rowOff>38100</xdr:rowOff>
                  </from>
                  <to>
                    <xdr:col>0</xdr:col>
                    <xdr:colOff>723900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189E40-1167-458C-A147-5F239051F051}">
          <x14:formula1>
            <xm:f>'Datos de entrada MOD'!$E$25:$E$26</xm:f>
          </x14:formula1>
          <xm:sqref>D5:D7 D12:D14 D75:D77 D61:D63 D47:D49 D15 D29 D10 D89:D91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387DB-AD05-4552-9889-5EDFE425F483}">
  <dimension ref="A1:Q19"/>
  <sheetViews>
    <sheetView tabSelected="1" workbookViewId="0">
      <selection activeCell="F26" sqref="F26"/>
    </sheetView>
  </sheetViews>
  <sheetFormatPr defaultColWidth="11.42578125" defaultRowHeight="15"/>
  <cols>
    <col min="4" max="4" width="16.7109375" customWidth="1"/>
    <col min="5" max="5" width="22.7109375" customWidth="1"/>
    <col min="6" max="6" width="22.28515625" customWidth="1"/>
    <col min="7" max="7" width="20.85546875" customWidth="1"/>
    <col min="8" max="8" width="13.7109375" customWidth="1"/>
    <col min="9" max="9" width="23" customWidth="1"/>
    <col min="10" max="10" width="21.140625" customWidth="1"/>
    <col min="11" max="12" width="19" customWidth="1"/>
    <col min="13" max="13" width="20.28515625" customWidth="1"/>
  </cols>
  <sheetData>
    <row r="1" spans="1:17">
      <c r="A1" t="s">
        <v>154</v>
      </c>
    </row>
    <row r="2" spans="1:17" ht="15.75">
      <c r="B2" s="278" t="s">
        <v>47</v>
      </c>
      <c r="C2" s="278"/>
      <c r="D2" s="278"/>
      <c r="E2" s="278"/>
      <c r="F2" s="278"/>
      <c r="G2" s="108"/>
      <c r="H2" s="108"/>
      <c r="I2" s="108"/>
      <c r="J2" s="108"/>
      <c r="K2" s="108"/>
      <c r="L2" s="108"/>
      <c r="M2" s="108"/>
    </row>
    <row r="3" spans="1:17" ht="16.5" thickBot="1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113"/>
    </row>
    <row r="4" spans="1:17" ht="16.5" thickBot="1">
      <c r="B4" s="4"/>
      <c r="C4" s="4"/>
      <c r="D4" s="300" t="s">
        <v>49</v>
      </c>
      <c r="E4" s="301"/>
      <c r="F4" s="95">
        <v>1</v>
      </c>
      <c r="G4" s="4"/>
      <c r="H4" s="4"/>
      <c r="I4" s="4"/>
      <c r="K4" s="4"/>
    </row>
    <row r="5" spans="1:17" ht="15.75">
      <c r="B5" s="2"/>
      <c r="C5" s="2"/>
      <c r="D5" s="4"/>
      <c r="E5" s="4"/>
      <c r="F5" s="4"/>
      <c r="G5" s="4"/>
      <c r="H5" s="4"/>
      <c r="I5" s="4"/>
      <c r="J5" s="4"/>
      <c r="K5" s="4"/>
      <c r="L5" s="4"/>
      <c r="M5" s="113"/>
      <c r="N5" s="113"/>
      <c r="O5" s="113"/>
      <c r="P5" s="113"/>
      <c r="Q5" s="113"/>
    </row>
    <row r="6" spans="1:17">
      <c r="B6" s="296" t="s">
        <v>51</v>
      </c>
      <c r="C6" s="296" t="s">
        <v>52</v>
      </c>
      <c r="D6" s="296" t="s">
        <v>70</v>
      </c>
      <c r="E6" s="298" t="s">
        <v>73</v>
      </c>
      <c r="F6" s="198" t="s">
        <v>56</v>
      </c>
      <c r="M6" s="115"/>
      <c r="N6" s="3"/>
      <c r="O6" s="110"/>
      <c r="P6" s="3"/>
      <c r="Q6" s="3"/>
    </row>
    <row r="7" spans="1:17">
      <c r="B7" s="297"/>
      <c r="C7" s="297"/>
      <c r="D7" s="297"/>
      <c r="E7" s="307"/>
      <c r="F7" s="199"/>
      <c r="M7" s="115"/>
      <c r="N7" s="3"/>
      <c r="O7" s="110"/>
      <c r="P7" s="3"/>
      <c r="Q7" s="3"/>
    </row>
    <row r="8" spans="1:17">
      <c r="B8" s="140">
        <v>1</v>
      </c>
      <c r="C8" s="140" t="str">
        <f>'Inicio MOD'!$E$15&amp;"-"&amp;B8</f>
        <v>TPSR KP23-1</v>
      </c>
      <c r="D8" s="135">
        <f>'Inicio MOD'!$D$15</f>
        <v>29</v>
      </c>
      <c r="E8" s="140">
        <f>'Datos de entrada MOD'!$A$38*F4</f>
        <v>4</v>
      </c>
      <c r="F8" s="140">
        <f>ROUNDUP($D8/$E8,0)</f>
        <v>8</v>
      </c>
      <c r="M8" s="115"/>
      <c r="N8" s="3"/>
      <c r="O8" s="110"/>
      <c r="P8" s="3"/>
      <c r="Q8" s="3"/>
    </row>
    <row r="10" spans="1:17">
      <c r="B10" s="123" t="s">
        <v>351</v>
      </c>
      <c r="C10" s="195">
        <v>8</v>
      </c>
      <c r="E10" s="123" t="s">
        <v>220</v>
      </c>
      <c r="F10" s="135">
        <v>0</v>
      </c>
    </row>
    <row r="11" spans="1:17">
      <c r="L11" s="136" t="s">
        <v>240</v>
      </c>
      <c r="M11" s="69"/>
    </row>
    <row r="12" spans="1:17">
      <c r="M12" s="69"/>
    </row>
    <row r="13" spans="1:17">
      <c r="L13" s="243" t="s">
        <v>241</v>
      </c>
      <c r="M13" s="69"/>
      <c r="N13" s="69"/>
    </row>
    <row r="14" spans="1:17">
      <c r="B14" s="124" t="s">
        <v>360</v>
      </c>
      <c r="D14" s="123" t="s">
        <v>221</v>
      </c>
      <c r="E14" s="195">
        <v>1</v>
      </c>
      <c r="L14" s="243" t="s">
        <v>243</v>
      </c>
      <c r="M14" s="69"/>
      <c r="N14" s="69"/>
    </row>
    <row r="15" spans="1:17">
      <c r="L15" s="243" t="s">
        <v>245</v>
      </c>
      <c r="M15" s="69"/>
      <c r="N15" s="69"/>
    </row>
    <row r="16" spans="1:17">
      <c r="B16" s="124" t="s">
        <v>221</v>
      </c>
      <c r="C16" s="124" t="s">
        <v>27</v>
      </c>
      <c r="D16" s="124" t="s">
        <v>222</v>
      </c>
      <c r="E16" s="124" t="s">
        <v>223</v>
      </c>
      <c r="F16" s="124" t="s">
        <v>224</v>
      </c>
      <c r="L16" s="243" t="s">
        <v>246</v>
      </c>
      <c r="N16" s="69"/>
    </row>
    <row r="17" spans="2:14">
      <c r="B17" s="135"/>
      <c r="C17" s="135" t="s">
        <v>171</v>
      </c>
      <c r="D17" s="135" t="str">
        <f>'Inicio MOD'!$C$8</f>
        <v>14x7</v>
      </c>
      <c r="E17" s="268">
        <v>45413</v>
      </c>
      <c r="F17" s="147">
        <v>8</v>
      </c>
      <c r="L17" s="243" t="s">
        <v>247</v>
      </c>
      <c r="N17" s="69"/>
    </row>
    <row r="18" spans="2:14">
      <c r="B18" s="269"/>
      <c r="C18" s="269"/>
      <c r="D18" s="269"/>
      <c r="E18" s="270"/>
      <c r="F18" s="271"/>
      <c r="L18" s="243" t="s">
        <v>248</v>
      </c>
      <c r="N18" s="69"/>
    </row>
    <row r="19" spans="2:14">
      <c r="B19" s="269"/>
      <c r="C19" s="269"/>
      <c r="D19" s="269"/>
      <c r="E19" s="272"/>
      <c r="F19" s="273"/>
    </row>
  </sheetData>
  <mergeCells count="6">
    <mergeCell ref="B2:F2"/>
    <mergeCell ref="D4:E4"/>
    <mergeCell ref="B6:B7"/>
    <mergeCell ref="C6:C7"/>
    <mergeCell ref="D6:D7"/>
    <mergeCell ref="E6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8625" r:id="rId3" name="Button 1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9</xdr:row>
                    <xdr:rowOff>38100</xdr:rowOff>
                  </from>
                  <to>
                    <xdr:col>3</xdr:col>
                    <xdr:colOff>914400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27" r:id="rId4" name="Button 3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9</xdr:row>
                    <xdr:rowOff>38100</xdr:rowOff>
                  </from>
                  <to>
                    <xdr:col>3</xdr:col>
                    <xdr:colOff>914400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28" r:id="rId5" name="Button 4">
              <controlPr defaultSize="0" print="0" autoFill="0" autoPict="0" macro="[0]!genScheduleforTab">
                <anchor moveWithCells="1" sizeWithCells="1">
                  <from>
                    <xdr:col>7</xdr:col>
                    <xdr:colOff>219075</xdr:colOff>
                    <xdr:row>14</xdr:row>
                    <xdr:rowOff>66675</xdr:rowOff>
                  </from>
                  <to>
                    <xdr:col>8</xdr:col>
                    <xdr:colOff>800100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C5981CC-5F05-4D8B-8C3C-0F80C14C5A5A}">
          <x14:formula1>
            <xm:f>Rates!$C$24:$C$32</xm:f>
          </x14:formula1>
          <xm:sqref>C17:C19</xm:sqref>
        </x14:dataValidation>
        <x14:dataValidation type="list" allowBlank="1" showInputMessage="1" showErrorMessage="1" xr:uid="{6C4AAC9D-8875-413B-90CC-005E3C74DF7A}">
          <x14:formula1>
            <xm:f>'Datos de entrada MOD'!$E$25:$E$26</xm:f>
          </x14:formula1>
          <xm:sqref>D17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BBE1C-6006-4CA5-959E-A8F855EBAB9A}">
  <sheetPr codeName="Hoja128">
    <tabColor theme="6" tint="0.59999389629810485"/>
  </sheetPr>
  <dimension ref="B1:SN193"/>
  <sheetViews>
    <sheetView zoomScale="70" zoomScaleNormal="70" workbookViewId="0">
      <selection activeCell="S19" sqref="S19"/>
    </sheetView>
  </sheetViews>
  <sheetFormatPr defaultColWidth="11.42578125" defaultRowHeight="15"/>
  <cols>
    <col min="6" max="6" width="14.85546875" customWidth="1"/>
    <col min="7" max="420" width="5.7109375" style="110" customWidth="1"/>
  </cols>
  <sheetData>
    <row r="1" spans="2:508" ht="84" customHeight="1">
      <c r="C1" s="109"/>
      <c r="D1" s="109">
        <v>1</v>
      </c>
      <c r="E1" s="237">
        <v>1</v>
      </c>
      <c r="G1" s="238">
        <f>MIN(E5:E7)-5</f>
        <v>45408</v>
      </c>
      <c r="H1" s="238">
        <f>G1+1</f>
        <v>45409</v>
      </c>
      <c r="I1" s="238">
        <f t="shared" ref="I1:T1" si="0">H1+1</f>
        <v>45410</v>
      </c>
      <c r="J1" s="238">
        <f t="shared" si="0"/>
        <v>45411</v>
      </c>
      <c r="K1" s="238">
        <f t="shared" si="0"/>
        <v>45412</v>
      </c>
      <c r="L1" s="238">
        <f t="shared" si="0"/>
        <v>45413</v>
      </c>
      <c r="M1" s="238">
        <f t="shared" si="0"/>
        <v>45414</v>
      </c>
      <c r="N1" s="238">
        <f t="shared" si="0"/>
        <v>45415</v>
      </c>
      <c r="O1" s="238">
        <f t="shared" si="0"/>
        <v>45416</v>
      </c>
      <c r="P1" s="238">
        <f t="shared" si="0"/>
        <v>45417</v>
      </c>
      <c r="Q1" s="238">
        <f t="shared" si="0"/>
        <v>45418</v>
      </c>
      <c r="R1" s="238">
        <f t="shared" si="0"/>
        <v>45419</v>
      </c>
      <c r="S1" s="238">
        <f t="shared" si="0"/>
        <v>45420</v>
      </c>
      <c r="T1" s="238">
        <f t="shared" si="0"/>
        <v>45421</v>
      </c>
    </row>
    <row r="2" spans="2:508" ht="24.75" customHeight="1">
      <c r="B2" s="123" t="s">
        <v>219</v>
      </c>
      <c r="C2" s="109">
        <v>1</v>
      </c>
      <c r="D2" s="109"/>
      <c r="E2" s="237">
        <f>'Inicio MOD'!$M$14</f>
        <v>0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</row>
    <row r="3" spans="2:508" ht="24.75" customHeight="1"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239"/>
      <c r="AM3" s="239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39"/>
      <c r="BE3" s="239"/>
      <c r="BF3" s="239"/>
      <c r="BG3" s="239"/>
      <c r="BH3" s="239"/>
      <c r="BI3" s="239"/>
      <c r="BJ3" s="239"/>
      <c r="BK3" s="239"/>
      <c r="BL3" s="239"/>
      <c r="BM3" s="239"/>
      <c r="BN3" s="239"/>
      <c r="BO3" s="239"/>
      <c r="BP3" s="239"/>
      <c r="BQ3" s="239"/>
      <c r="BR3" s="239"/>
      <c r="BS3" s="239"/>
    </row>
    <row r="4" spans="2:508" s="110" customFormat="1" ht="84" customHeight="1">
      <c r="B4" s="171" t="s">
        <v>221</v>
      </c>
      <c r="C4" s="171" t="s">
        <v>27</v>
      </c>
      <c r="D4" s="171" t="s">
        <v>222</v>
      </c>
      <c r="E4" s="172" t="s">
        <v>223</v>
      </c>
      <c r="F4" s="172" t="s">
        <v>224</v>
      </c>
      <c r="G4" s="240"/>
      <c r="H4" s="241"/>
      <c r="I4" s="241"/>
      <c r="J4" s="241"/>
      <c r="K4" s="242"/>
      <c r="L4" s="242"/>
      <c r="M4" s="242"/>
      <c r="N4" s="242"/>
      <c r="O4" s="242"/>
      <c r="P4" s="242"/>
      <c r="Q4" s="242"/>
      <c r="R4" s="242"/>
      <c r="S4" s="242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</row>
    <row r="5" spans="2:508">
      <c r="B5" s="135"/>
      <c r="C5" s="135" t="s">
        <v>171</v>
      </c>
      <c r="D5" s="135" t="s">
        <v>7</v>
      </c>
      <c r="E5" s="268">
        <v>45413</v>
      </c>
      <c r="F5" s="147">
        <v>8</v>
      </c>
      <c r="G5" s="64" t="s">
        <v>1</v>
      </c>
      <c r="H5" s="64" t="s">
        <v>1</v>
      </c>
      <c r="I5" s="64" t="s">
        <v>201</v>
      </c>
      <c r="J5" s="64" t="s">
        <v>349</v>
      </c>
      <c r="K5" s="64" t="s">
        <v>349</v>
      </c>
      <c r="L5" s="64" t="s">
        <v>20</v>
      </c>
      <c r="M5" s="64" t="s">
        <v>20</v>
      </c>
      <c r="N5" s="64" t="s">
        <v>20</v>
      </c>
      <c r="O5" s="64" t="s">
        <v>20</v>
      </c>
      <c r="P5" s="64" t="s">
        <v>20</v>
      </c>
      <c r="Q5" s="64" t="s">
        <v>20</v>
      </c>
      <c r="R5" s="64" t="s">
        <v>20</v>
      </c>
      <c r="S5" s="64" t="s">
        <v>20</v>
      </c>
      <c r="T5" s="64" t="s">
        <v>8</v>
      </c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  <c r="KT5" s="64"/>
      <c r="KU5" s="64"/>
      <c r="KV5" s="64"/>
      <c r="KW5" s="64"/>
      <c r="KX5" s="64"/>
      <c r="KY5" s="64"/>
      <c r="KZ5" s="64"/>
      <c r="LA5" s="64"/>
      <c r="LB5" s="64"/>
      <c r="LC5" s="64"/>
      <c r="LD5" s="64"/>
      <c r="LE5" s="64"/>
      <c r="LF5" s="64"/>
      <c r="LG5" s="64"/>
      <c r="LH5" s="64"/>
      <c r="LI5" s="64"/>
      <c r="LJ5" s="64"/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64"/>
      <c r="MJ5" s="64"/>
      <c r="MK5" s="64"/>
      <c r="ML5" s="64"/>
      <c r="MM5" s="64"/>
      <c r="MN5" s="64"/>
      <c r="MO5" s="64"/>
      <c r="MP5" s="64"/>
      <c r="MQ5" s="64"/>
      <c r="MR5" s="64"/>
      <c r="MS5" s="64"/>
      <c r="MT5" s="64"/>
      <c r="MU5" s="64"/>
      <c r="MV5" s="64"/>
      <c r="MW5" s="64"/>
      <c r="MX5" s="64"/>
      <c r="MY5" s="64"/>
      <c r="MZ5" s="64"/>
      <c r="NA5" s="64"/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64"/>
      <c r="OR5" s="64"/>
      <c r="OS5" s="64"/>
      <c r="OT5" s="64"/>
      <c r="OU5" s="64"/>
      <c r="OV5" s="64"/>
      <c r="OW5" s="64"/>
      <c r="OX5" s="64"/>
      <c r="OY5" s="64"/>
      <c r="OZ5" s="64"/>
      <c r="PA5" s="64"/>
      <c r="PB5" s="64"/>
      <c r="PC5" s="64"/>
      <c r="PD5" s="64"/>
      <c r="PE5" s="64"/>
      <c r="PF5" s="64"/>
      <c r="PG5" s="64"/>
      <c r="PH5" s="64"/>
      <c r="PI5" s="64"/>
      <c r="PJ5" s="64"/>
      <c r="PK5" s="64"/>
      <c r="PL5" s="64"/>
      <c r="PM5" s="64"/>
      <c r="PN5" s="64"/>
      <c r="PO5" s="64"/>
      <c r="PP5" s="64"/>
      <c r="PQ5" s="64"/>
      <c r="PR5" s="64"/>
      <c r="PS5" s="64"/>
      <c r="PT5" s="64"/>
      <c r="PU5" s="64"/>
      <c r="PV5" s="64"/>
      <c r="PW5" s="64"/>
      <c r="PX5" s="64"/>
      <c r="PY5" s="64"/>
      <c r="PZ5" s="64"/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64"/>
      <c r="QZ5" s="64"/>
      <c r="RA5" s="64"/>
      <c r="RB5" s="64"/>
      <c r="RC5" s="64"/>
      <c r="RD5" s="64"/>
      <c r="RE5" s="64"/>
      <c r="RF5" s="64"/>
      <c r="RG5" s="64"/>
      <c r="RH5" s="64"/>
      <c r="RI5" s="64"/>
      <c r="RJ5" s="64"/>
      <c r="RK5" s="64"/>
      <c r="RL5" s="64"/>
      <c r="RM5" s="64"/>
      <c r="RN5" s="64"/>
      <c r="RO5" s="64"/>
      <c r="RP5" s="64"/>
      <c r="RQ5" s="64"/>
      <c r="RR5" s="64"/>
      <c r="RS5" s="64"/>
      <c r="RT5" s="64"/>
      <c r="RU5" s="64"/>
      <c r="RV5" s="64"/>
      <c r="RW5" s="64"/>
      <c r="RX5" s="64"/>
      <c r="RY5" s="64"/>
      <c r="RZ5" s="64"/>
      <c r="SA5" s="64"/>
      <c r="SB5" s="64"/>
      <c r="SC5" s="64"/>
      <c r="SD5" s="64"/>
      <c r="SE5" s="64"/>
      <c r="SF5" s="64"/>
      <c r="SG5" s="64"/>
      <c r="SH5" s="64"/>
      <c r="SI5" s="64"/>
      <c r="SJ5" s="64"/>
      <c r="SK5" s="64"/>
      <c r="SL5" s="64"/>
      <c r="SM5" s="64"/>
      <c r="SN5" s="64"/>
    </row>
    <row r="6" spans="2:508">
      <c r="B6" s="269"/>
      <c r="C6" s="269"/>
      <c r="D6" s="269"/>
      <c r="E6" s="270"/>
      <c r="F6" s="271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</row>
    <row r="7" spans="2:508">
      <c r="B7" s="269"/>
      <c r="C7" s="269"/>
      <c r="D7" s="269"/>
      <c r="E7" s="272"/>
      <c r="F7" s="273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  <c r="KT7" s="64"/>
      <c r="KU7" s="64"/>
      <c r="KV7" s="64"/>
      <c r="KW7" s="64"/>
      <c r="KX7" s="64"/>
      <c r="KY7" s="64"/>
      <c r="KZ7" s="64"/>
      <c r="LA7" s="64"/>
      <c r="LB7" s="64"/>
      <c r="LC7" s="64"/>
      <c r="LD7" s="64"/>
      <c r="LE7" s="64"/>
      <c r="LF7" s="64"/>
      <c r="LG7" s="64"/>
      <c r="LH7" s="64"/>
      <c r="LI7" s="64"/>
      <c r="LJ7" s="64"/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64"/>
      <c r="MJ7" s="64"/>
      <c r="MK7" s="64"/>
      <c r="ML7" s="64"/>
      <c r="MM7" s="64"/>
      <c r="MN7" s="64"/>
      <c r="MO7" s="64"/>
      <c r="MP7" s="64"/>
      <c r="MQ7" s="64"/>
      <c r="MR7" s="64"/>
      <c r="MS7" s="64"/>
      <c r="MT7" s="64"/>
      <c r="MU7" s="64"/>
      <c r="MV7" s="64"/>
      <c r="MW7" s="64"/>
      <c r="MX7" s="64"/>
      <c r="MY7" s="64"/>
      <c r="MZ7" s="64"/>
      <c r="NA7" s="64"/>
      <c r="NB7" s="64"/>
      <c r="NC7" s="64"/>
      <c r="ND7" s="64"/>
      <c r="NE7" s="64"/>
      <c r="NF7" s="64"/>
      <c r="NG7" s="64"/>
      <c r="NH7" s="64"/>
      <c r="NI7" s="64"/>
      <c r="NJ7" s="64"/>
      <c r="NK7" s="64"/>
      <c r="NL7" s="64"/>
      <c r="NM7" s="64"/>
      <c r="NN7" s="64"/>
      <c r="NO7" s="64"/>
      <c r="NP7" s="64"/>
      <c r="NQ7" s="64"/>
      <c r="NR7" s="64"/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64"/>
      <c r="OR7" s="64"/>
      <c r="OS7" s="64"/>
      <c r="OT7" s="64"/>
      <c r="OU7" s="64"/>
      <c r="OV7" s="64"/>
      <c r="OW7" s="64"/>
      <c r="OX7" s="64"/>
      <c r="OY7" s="64"/>
      <c r="OZ7" s="64"/>
      <c r="PA7" s="64"/>
      <c r="PB7" s="64"/>
      <c r="PC7" s="64"/>
      <c r="PD7" s="64"/>
      <c r="PE7" s="64"/>
      <c r="PF7" s="64"/>
      <c r="PG7" s="64"/>
      <c r="PH7" s="64"/>
      <c r="PI7" s="64"/>
      <c r="PJ7" s="64"/>
      <c r="PK7" s="64"/>
      <c r="PL7" s="64"/>
      <c r="PM7" s="64"/>
      <c r="PN7" s="64"/>
      <c r="PO7" s="64"/>
      <c r="PP7" s="64"/>
      <c r="PQ7" s="64"/>
      <c r="PR7" s="64"/>
      <c r="PS7" s="64"/>
      <c r="PT7" s="64"/>
      <c r="PU7" s="64"/>
      <c r="PV7" s="64"/>
      <c r="PW7" s="64"/>
      <c r="PX7" s="64"/>
      <c r="PY7" s="64"/>
      <c r="PZ7" s="64"/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64"/>
      <c r="QZ7" s="64"/>
      <c r="RA7" s="64"/>
      <c r="RB7" s="64"/>
      <c r="RC7" s="64"/>
      <c r="RD7" s="64"/>
      <c r="RE7" s="64"/>
      <c r="RF7" s="64"/>
      <c r="RG7" s="64"/>
      <c r="RH7" s="64"/>
      <c r="RI7" s="64"/>
      <c r="RJ7" s="64"/>
      <c r="RK7" s="64"/>
      <c r="RL7" s="64"/>
      <c r="RM7" s="64"/>
      <c r="RN7" s="64"/>
      <c r="RO7" s="64"/>
      <c r="RP7" s="64"/>
      <c r="RQ7" s="64"/>
      <c r="RR7" s="64"/>
      <c r="RS7" s="64"/>
      <c r="RT7" s="64"/>
      <c r="RU7" s="64"/>
      <c r="RV7" s="64"/>
      <c r="RW7" s="64"/>
      <c r="RX7" s="64"/>
      <c r="RY7" s="64"/>
      <c r="RZ7" s="64"/>
      <c r="SA7" s="64"/>
      <c r="SB7" s="64"/>
      <c r="SC7" s="64"/>
      <c r="SD7" s="64"/>
      <c r="SE7" s="64"/>
      <c r="SF7" s="64"/>
      <c r="SG7" s="64"/>
      <c r="SH7" s="64"/>
      <c r="SI7" s="64"/>
      <c r="SJ7" s="64"/>
      <c r="SK7" s="64"/>
      <c r="SL7" s="64"/>
      <c r="SM7" s="64"/>
      <c r="SN7" s="64"/>
    </row>
    <row r="9" spans="2:508" ht="15" customHeight="1">
      <c r="B9" s="124" t="s">
        <v>350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</row>
    <row r="10" spans="2:508"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</row>
    <row r="11" spans="2:508" ht="69.95" customHeight="1">
      <c r="B11" s="124" t="s">
        <v>221</v>
      </c>
      <c r="C11" s="124" t="s">
        <v>27</v>
      </c>
      <c r="D11" s="213" t="s">
        <v>225</v>
      </c>
      <c r="E11" s="213" t="s">
        <v>226</v>
      </c>
      <c r="F11" s="213" t="s">
        <v>227</v>
      </c>
      <c r="G11" s="214" t="s">
        <v>228</v>
      </c>
      <c r="H11" s="214" t="s">
        <v>229</v>
      </c>
      <c r="I11" s="214" t="s">
        <v>155</v>
      </c>
      <c r="J11" s="214" t="s">
        <v>230</v>
      </c>
      <c r="K11" s="214" t="s">
        <v>231</v>
      </c>
      <c r="L11" s="214" t="s">
        <v>232</v>
      </c>
      <c r="M11" s="214" t="s">
        <v>233</v>
      </c>
      <c r="N11" s="214" t="s">
        <v>234</v>
      </c>
      <c r="O11" s="214" t="s">
        <v>235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</row>
    <row r="12" spans="2:508">
      <c r="B12" s="135"/>
      <c r="C12" s="135" t="s">
        <v>171</v>
      </c>
      <c r="D12" s="141">
        <v>8</v>
      </c>
      <c r="E12" s="141">
        <v>0</v>
      </c>
      <c r="F12" s="141">
        <v>2</v>
      </c>
      <c r="G12" s="126">
        <f>D12*'Datos de entrada MOD'!$T$21+E12*'Datos de entrada MOD'!$T$18+F12*'Datos de entrada MOD'!$T$17</f>
        <v>96</v>
      </c>
      <c r="H12" s="141">
        <v>0</v>
      </c>
      <c r="I12" s="141">
        <v>0</v>
      </c>
      <c r="J12" s="141">
        <v>0</v>
      </c>
      <c r="K12" s="141">
        <v>0</v>
      </c>
      <c r="L12" s="141"/>
      <c r="M12" s="141"/>
      <c r="N12" s="126">
        <f>H12*'Datos de entrada MOD'!$T$22+I12*'Datos de entrada MOD'!$T$19+J12*'Datos de entrada MOD'!$T$20+K12*'Datos de entrada MOD'!$T$23</f>
        <v>0</v>
      </c>
      <c r="O12" s="126">
        <v>14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</row>
    <row r="13" spans="2:508">
      <c r="B13" s="269"/>
      <c r="C13" s="269"/>
      <c r="D13" s="141">
        <v>0</v>
      </c>
      <c r="E13" s="141">
        <v>0</v>
      </c>
      <c r="F13" s="141">
        <v>0</v>
      </c>
      <c r="G13" s="126">
        <f>D13*'Datos de entrada MOD'!$T$21+E13*'Datos de entrada MOD'!$T$18+F13*'Datos de entrada MOD'!$T$17</f>
        <v>0</v>
      </c>
      <c r="H13" s="141">
        <v>0</v>
      </c>
      <c r="I13" s="141">
        <v>0</v>
      </c>
      <c r="J13" s="141">
        <v>0</v>
      </c>
      <c r="K13" s="141">
        <v>0</v>
      </c>
      <c r="L13" s="141"/>
      <c r="M13" s="141"/>
      <c r="N13" s="126">
        <f>H13*'Datos de entrada MOD'!$T$22+I13*'Datos de entrada MOD'!$T$19+J13*'Datos de entrada MOD'!$T$20+K13*'Datos de entrada MOD'!$T$23</f>
        <v>0</v>
      </c>
      <c r="O13" s="126">
        <v>0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</row>
    <row r="14" spans="2:508">
      <c r="B14" s="269"/>
      <c r="C14" s="269"/>
      <c r="D14" s="141">
        <v>0</v>
      </c>
      <c r="E14" s="141">
        <v>0</v>
      </c>
      <c r="F14" s="141">
        <v>0</v>
      </c>
      <c r="G14" s="126">
        <f>D14*'Datos de entrada MOD'!$T$21+E14*'Datos de entrada MOD'!$T$18+F14*'Datos de entrada MOD'!$T$17</f>
        <v>0</v>
      </c>
      <c r="H14" s="141">
        <v>0</v>
      </c>
      <c r="I14" s="141">
        <v>0</v>
      </c>
      <c r="J14" s="141">
        <v>0</v>
      </c>
      <c r="K14" s="141">
        <v>0</v>
      </c>
      <c r="L14" s="141"/>
      <c r="M14" s="141"/>
      <c r="N14" s="126">
        <f>H14*'Datos de entrada MOD'!$T$22+I14*'Datos de entrada MOD'!$T$19+J14*'Datos de entrada MOD'!$T$20+K14*'Datos de entrada MOD'!$T$23</f>
        <v>0</v>
      </c>
      <c r="O14" s="126">
        <v>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</row>
    <row r="15" spans="2:508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</row>
    <row r="16" spans="2:508">
      <c r="B16" s="125" t="s">
        <v>236</v>
      </c>
      <c r="C16" s="124"/>
      <c r="D16" s="141">
        <f>SUM(G12:G14,N12:N14)</f>
        <v>96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</row>
    <row r="17" spans="2:420">
      <c r="B17" s="125" t="s">
        <v>237</v>
      </c>
      <c r="C17" s="124"/>
      <c r="D17" s="141">
        <v>10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</row>
    <row r="18" spans="2:420">
      <c r="B18" s="125" t="s">
        <v>238</v>
      </c>
      <c r="C18" s="124"/>
      <c r="D18" s="141">
        <f>SUM(O12:O14)</f>
        <v>14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</row>
    <row r="19" spans="2:420">
      <c r="B19" s="125" t="s">
        <v>239</v>
      </c>
      <c r="C19" s="124"/>
      <c r="D19" s="141">
        <f>D18</f>
        <v>14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</row>
    <row r="20" spans="2:420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</row>
    <row r="21" spans="2:420" ht="15" customHeight="1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</row>
    <row r="22" spans="2:420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</row>
    <row r="23" spans="2:420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</row>
    <row r="24" spans="2:420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</row>
    <row r="25" spans="2:420" ht="69.95" customHeight="1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</row>
    <row r="26" spans="2:420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</row>
    <row r="27" spans="2:420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</row>
    <row r="28" spans="2:420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</row>
    <row r="29" spans="2:420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</row>
    <row r="30" spans="2:420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</row>
    <row r="31" spans="2:420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</row>
    <row r="32" spans="2:420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</row>
    <row r="33" customFormat="1"/>
    <row r="34" customFormat="1"/>
    <row r="35" customFormat="1"/>
    <row r="36" customFormat="1"/>
    <row r="37" customFormat="1"/>
    <row r="38" customFormat="1"/>
    <row r="39" customFormat="1" ht="69.95" customHeigh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 ht="69.95" customHeigh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 ht="69.95" customHeigh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 ht="69.95" customHeigh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 ht="69.95" customHeigh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</sheetData>
  <conditionalFormatting sqref="G5:SN7">
    <cfRule type="cellIs" dxfId="19" priority="5" operator="equal">
      <formula>"S"</formula>
    </cfRule>
    <cfRule type="cellIs" dxfId="18" priority="6" operator="equal">
      <formula>"IC"</formula>
    </cfRule>
    <cfRule type="cellIs" dxfId="17" priority="7" operator="equal">
      <formula>"DS"</formula>
    </cfRule>
    <cfRule type="cellIs" dxfId="16" priority="8" operator="equal">
      <formula>"V"</formula>
    </cfRule>
    <cfRule type="cellIs" dxfId="15" priority="9" operator="equal">
      <formula>""""""</formula>
    </cfRule>
    <cfRule type="cellIs" dxfId="14" priority="10" operator="equal">
      <formula>"H"</formula>
    </cfRule>
    <cfRule type="cellIs" dxfId="13" priority="11" operator="equal">
      <formula>"I"</formula>
    </cfRule>
    <cfRule type="cellIs" dxfId="12" priority="12" operator="equal">
      <formula>"D"</formula>
    </cfRule>
    <cfRule type="cellIs" dxfId="11" priority="13" operator="equal">
      <formula>"EM"</formula>
    </cfRule>
    <cfRule type="cellIs" dxfId="10" priority="14" operator="equal">
      <formula>"X"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1697" r:id="rId4" name="Button 1">
              <controlPr defaultSize="0" print="0" autoFill="0" autoPict="0" macro="[0]!GenerateSchedule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733425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98" r:id="rId5" name="Button 2">
              <controlPr defaultSize="0" print="0" autoFill="0" autoPict="0" macro="[0]!copySchedule">
                <anchor moveWithCells="1" sizeWithCells="1">
                  <from>
                    <xdr:col>0</xdr:col>
                    <xdr:colOff>19050</xdr:colOff>
                    <xdr:row>3</xdr:row>
                    <xdr:rowOff>209550</xdr:rowOff>
                  </from>
                  <to>
                    <xdr:col>0</xdr:col>
                    <xdr:colOff>723900</xdr:colOff>
                    <xdr:row>3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99" r:id="rId6" name="Button 3">
              <controlPr defaultSize="0" print="0" autoFill="0" autoPict="0" macro="[0]!DelCurrentSheet">
                <anchor moveWithCells="1" sizeWithCells="1">
                  <from>
                    <xdr:col>0</xdr:col>
                    <xdr:colOff>9525</xdr:colOff>
                    <xdr:row>4</xdr:row>
                    <xdr:rowOff>38100</xdr:rowOff>
                  </from>
                  <to>
                    <xdr:col>0</xdr:col>
                    <xdr:colOff>723900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32E48-523C-47F9-95B4-14F47FC2BB90}">
          <x14:formula1>
            <xm:f>'Datos de entrada MOD'!$E$25:$E$26</xm:f>
          </x14:formula1>
          <xm:sqref>D22:D24 D40:D42 D82:D84 D68:D70 D54:D56 D26:D28 D36 D5:D7 D96:D98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EA0BF-CE3A-4749-8929-F8E79EA5E20D}">
  <dimension ref="A1:Q19"/>
  <sheetViews>
    <sheetView workbookViewId="0">
      <selection activeCell="F11" sqref="F11"/>
    </sheetView>
  </sheetViews>
  <sheetFormatPr defaultColWidth="11.42578125" defaultRowHeight="15"/>
  <cols>
    <col min="4" max="4" width="16.7109375" customWidth="1"/>
    <col min="5" max="5" width="22.7109375" customWidth="1"/>
    <col min="6" max="6" width="22.28515625" customWidth="1"/>
    <col min="7" max="7" width="20.85546875" customWidth="1"/>
    <col min="8" max="8" width="13.7109375" customWidth="1"/>
    <col min="9" max="9" width="23" customWidth="1"/>
    <col min="10" max="10" width="21.140625" customWidth="1"/>
    <col min="11" max="12" width="19" customWidth="1"/>
    <col min="13" max="13" width="20.28515625" customWidth="1"/>
  </cols>
  <sheetData>
    <row r="1" spans="1:17">
      <c r="A1" t="s">
        <v>75</v>
      </c>
    </row>
    <row r="2" spans="1:17" ht="15.75">
      <c r="B2" s="278" t="s">
        <v>48</v>
      </c>
      <c r="C2" s="278"/>
      <c r="D2" s="278"/>
      <c r="E2" s="278"/>
      <c r="F2" s="278"/>
      <c r="G2" s="108"/>
      <c r="H2" s="108"/>
      <c r="I2" s="108"/>
      <c r="J2" s="108"/>
      <c r="K2" s="108"/>
      <c r="L2" s="108"/>
      <c r="M2" s="108"/>
    </row>
    <row r="3" spans="1:17" ht="16.5" thickBot="1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113"/>
    </row>
    <row r="4" spans="1:17" ht="16.5" thickBot="1">
      <c r="B4" s="4"/>
      <c r="C4" s="4"/>
      <c r="D4" s="300" t="s">
        <v>49</v>
      </c>
      <c r="E4" s="301"/>
      <c r="F4" s="95">
        <v>1</v>
      </c>
      <c r="G4" s="4"/>
      <c r="H4" s="4"/>
      <c r="I4" s="4"/>
      <c r="K4" s="4"/>
    </row>
    <row r="5" spans="1:17" ht="15.75">
      <c r="B5" s="2"/>
      <c r="C5" s="2"/>
      <c r="D5" s="4"/>
      <c r="E5" s="4"/>
      <c r="F5" s="4"/>
      <c r="G5" s="4"/>
      <c r="H5" s="4"/>
      <c r="I5" s="4"/>
      <c r="J5" s="4"/>
      <c r="K5" s="4"/>
      <c r="L5" s="4"/>
      <c r="M5" s="113"/>
      <c r="N5" s="113"/>
      <c r="O5" s="113"/>
      <c r="P5" s="113"/>
      <c r="Q5" s="113"/>
    </row>
    <row r="6" spans="1:17">
      <c r="B6" s="296" t="s">
        <v>51</v>
      </c>
      <c r="C6" s="296" t="s">
        <v>52</v>
      </c>
      <c r="D6" s="296" t="s">
        <v>70</v>
      </c>
      <c r="E6" s="298" t="s">
        <v>214</v>
      </c>
      <c r="F6" s="198" t="s">
        <v>56</v>
      </c>
      <c r="M6" s="115"/>
      <c r="N6" s="3"/>
      <c r="O6" s="110"/>
      <c r="P6" s="3"/>
      <c r="Q6" s="3"/>
    </row>
    <row r="7" spans="1:17">
      <c r="B7" s="297"/>
      <c r="C7" s="297"/>
      <c r="D7" s="297"/>
      <c r="E7" s="307"/>
      <c r="F7" s="199"/>
      <c r="M7" s="115"/>
      <c r="N7" s="3"/>
      <c r="O7" s="110"/>
      <c r="P7" s="3"/>
      <c r="Q7" s="3"/>
    </row>
    <row r="8" spans="1:17">
      <c r="B8" s="140">
        <v>1</v>
      </c>
      <c r="C8" s="140" t="str">
        <f>'Inicio MOD'!$E$16&amp;"-"&amp;B8</f>
        <v>TRSR KP23-1</v>
      </c>
      <c r="D8" s="135">
        <f>'Inicio MOD'!$D$16</f>
        <v>7</v>
      </c>
      <c r="E8" s="140">
        <f>'Datos de entrada MOD'!$A$39*F4</f>
        <v>1</v>
      </c>
      <c r="F8" s="140">
        <f>ROUNDUP($D8/$E8,0)</f>
        <v>7</v>
      </c>
      <c r="M8" s="115"/>
      <c r="N8" s="3"/>
      <c r="O8" s="110"/>
      <c r="P8" s="3"/>
      <c r="Q8" s="3"/>
    </row>
    <row r="10" spans="1:17">
      <c r="B10" s="123" t="s">
        <v>351</v>
      </c>
      <c r="C10" s="195">
        <v>7</v>
      </c>
      <c r="E10" s="123" t="s">
        <v>220</v>
      </c>
      <c r="F10" s="135">
        <v>0</v>
      </c>
    </row>
    <row r="11" spans="1:17">
      <c r="L11" s="136" t="s">
        <v>240</v>
      </c>
      <c r="M11" s="69"/>
    </row>
    <row r="12" spans="1:17">
      <c r="M12" s="69"/>
    </row>
    <row r="13" spans="1:17">
      <c r="L13" s="243" t="s">
        <v>241</v>
      </c>
      <c r="M13" s="69"/>
      <c r="N13" s="69"/>
    </row>
    <row r="14" spans="1:17">
      <c r="B14" s="124" t="s">
        <v>360</v>
      </c>
      <c r="D14" s="123" t="s">
        <v>221</v>
      </c>
      <c r="E14" s="195">
        <v>1</v>
      </c>
      <c r="L14" s="243" t="s">
        <v>243</v>
      </c>
      <c r="M14" s="69"/>
      <c r="N14" s="69"/>
    </row>
    <row r="15" spans="1:17">
      <c r="L15" s="243" t="s">
        <v>245</v>
      </c>
      <c r="M15" s="69"/>
      <c r="N15" s="69"/>
    </row>
    <row r="16" spans="1:17">
      <c r="B16" s="124" t="s">
        <v>221</v>
      </c>
      <c r="C16" s="124" t="s">
        <v>27</v>
      </c>
      <c r="D16" s="124" t="s">
        <v>222</v>
      </c>
      <c r="E16" s="124" t="s">
        <v>223</v>
      </c>
      <c r="F16" s="124" t="s">
        <v>224</v>
      </c>
      <c r="L16" s="243" t="s">
        <v>246</v>
      </c>
      <c r="N16" s="69"/>
    </row>
    <row r="17" spans="2:14">
      <c r="B17" s="135"/>
      <c r="C17" s="135" t="s">
        <v>171</v>
      </c>
      <c r="D17" s="135" t="str">
        <f>'Inicio MOD'!$C$8</f>
        <v>14x7</v>
      </c>
      <c r="E17" s="268">
        <v>45413</v>
      </c>
      <c r="F17" s="147">
        <v>7</v>
      </c>
      <c r="L17" s="243" t="s">
        <v>247</v>
      </c>
      <c r="N17" s="69"/>
    </row>
    <row r="18" spans="2:14">
      <c r="B18" s="269"/>
      <c r="C18" s="269"/>
      <c r="D18" s="269"/>
      <c r="E18" s="270"/>
      <c r="F18" s="271"/>
      <c r="L18" s="243" t="s">
        <v>248</v>
      </c>
      <c r="N18" s="69"/>
    </row>
    <row r="19" spans="2:14">
      <c r="B19" s="269"/>
      <c r="C19" s="269"/>
      <c r="D19" s="269"/>
      <c r="E19" s="272"/>
      <c r="F19" s="273"/>
    </row>
  </sheetData>
  <mergeCells count="6">
    <mergeCell ref="B2:F2"/>
    <mergeCell ref="D4:E4"/>
    <mergeCell ref="B6:B7"/>
    <mergeCell ref="C6:C7"/>
    <mergeCell ref="D6:D7"/>
    <mergeCell ref="E6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9649" r:id="rId3" name="Button 1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9</xdr:row>
                    <xdr:rowOff>38100</xdr:rowOff>
                  </from>
                  <to>
                    <xdr:col>3</xdr:col>
                    <xdr:colOff>914400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1" r:id="rId4" name="Button 3">
              <controlPr defaultSize="0" print="0" autoFill="0" autoPict="0" macro="[0]!getSumVals">
                <anchor moveWithCells="1" sizeWithCells="1">
                  <from>
                    <xdr:col>3</xdr:col>
                    <xdr:colOff>295275</xdr:colOff>
                    <xdr:row>9</xdr:row>
                    <xdr:rowOff>38100</xdr:rowOff>
                  </from>
                  <to>
                    <xdr:col>3</xdr:col>
                    <xdr:colOff>914400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2" r:id="rId5" name="Button 4">
              <controlPr defaultSize="0" print="0" autoFill="0" autoPict="0" macro="[0]!genScheduleforTab">
                <anchor moveWithCells="1" sizeWithCells="1">
                  <from>
                    <xdr:col>7</xdr:col>
                    <xdr:colOff>219075</xdr:colOff>
                    <xdr:row>14</xdr:row>
                    <xdr:rowOff>66675</xdr:rowOff>
                  </from>
                  <to>
                    <xdr:col>8</xdr:col>
                    <xdr:colOff>800100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D3FE53-33CC-46EE-97D4-49F7E9750A2A}">
          <x14:formula1>
            <xm:f>Rates!$C$24:$C$32</xm:f>
          </x14:formula1>
          <xm:sqref>C17:C19</xm:sqref>
        </x14:dataValidation>
        <x14:dataValidation type="list" allowBlank="1" showInputMessage="1" showErrorMessage="1" xr:uid="{FEF413AA-661F-4402-9D94-23FAB3755086}">
          <x14:formula1>
            <xm:f>'Datos de entrada MOD'!$E$25:$E$26</xm:f>
          </x14:formula1>
          <xm:sqref>D17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09F7-E9FD-4E4C-B297-D8FE7BF5B2CF}">
  <sheetPr codeName="Hoja129">
    <tabColor theme="6" tint="0.59999389629810485"/>
  </sheetPr>
  <dimension ref="B1:SN193"/>
  <sheetViews>
    <sheetView zoomScale="70" zoomScaleNormal="70" workbookViewId="0">
      <selection activeCell="B5" sqref="B5:F7"/>
    </sheetView>
  </sheetViews>
  <sheetFormatPr defaultColWidth="11.42578125" defaultRowHeight="15"/>
  <cols>
    <col min="6" max="6" width="14.85546875" customWidth="1"/>
    <col min="7" max="420" width="5.7109375" style="110" customWidth="1"/>
  </cols>
  <sheetData>
    <row r="1" spans="2:508" ht="84" customHeight="1">
      <c r="C1" s="109"/>
      <c r="D1" s="109">
        <v>1</v>
      </c>
      <c r="E1" s="237">
        <v>1</v>
      </c>
      <c r="G1" s="238">
        <f>MIN(E5:E7)-5</f>
        <v>45408</v>
      </c>
      <c r="H1" s="238">
        <f>G1+1</f>
        <v>45409</v>
      </c>
      <c r="I1" s="238">
        <f t="shared" ref="I1:S1" si="0">H1+1</f>
        <v>45410</v>
      </c>
      <c r="J1" s="238">
        <f t="shared" si="0"/>
        <v>45411</v>
      </c>
      <c r="K1" s="238">
        <f t="shared" si="0"/>
        <v>45412</v>
      </c>
      <c r="L1" s="238">
        <f t="shared" si="0"/>
        <v>45413</v>
      </c>
      <c r="M1" s="238">
        <f t="shared" si="0"/>
        <v>45414</v>
      </c>
      <c r="N1" s="238">
        <f t="shared" si="0"/>
        <v>45415</v>
      </c>
      <c r="O1" s="238">
        <f t="shared" si="0"/>
        <v>45416</v>
      </c>
      <c r="P1" s="238">
        <f t="shared" si="0"/>
        <v>45417</v>
      </c>
      <c r="Q1" s="238">
        <f t="shared" si="0"/>
        <v>45418</v>
      </c>
      <c r="R1" s="238">
        <f t="shared" si="0"/>
        <v>45419</v>
      </c>
      <c r="S1" s="238">
        <f t="shared" si="0"/>
        <v>45420</v>
      </c>
    </row>
    <row r="2" spans="2:508" ht="24.75" customHeight="1">
      <c r="B2" s="123" t="s">
        <v>219</v>
      </c>
      <c r="C2" s="109">
        <v>1</v>
      </c>
      <c r="D2" s="109"/>
      <c r="E2" s="237">
        <f>'Inicio MOD'!$M$14</f>
        <v>0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  <c r="BK2" s="239"/>
      <c r="BL2" s="239"/>
      <c r="BM2" s="239"/>
      <c r="BN2" s="239"/>
      <c r="BO2" s="239"/>
      <c r="BP2" s="239"/>
      <c r="BQ2" s="239"/>
      <c r="BR2" s="239"/>
      <c r="BS2" s="239"/>
    </row>
    <row r="3" spans="2:508" ht="24.75" customHeight="1">
      <c r="G3" s="239"/>
      <c r="H3" s="239"/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  <c r="AK3" s="239"/>
      <c r="AL3" s="239"/>
      <c r="AM3" s="239"/>
      <c r="AN3" s="239"/>
      <c r="AO3" s="239"/>
      <c r="AP3" s="239"/>
      <c r="AQ3" s="239"/>
      <c r="AR3" s="239"/>
      <c r="AS3" s="239"/>
      <c r="AT3" s="239"/>
      <c r="AU3" s="239"/>
      <c r="AV3" s="239"/>
      <c r="AW3" s="239"/>
      <c r="AX3" s="239"/>
      <c r="AY3" s="239"/>
      <c r="AZ3" s="239"/>
      <c r="BA3" s="239"/>
      <c r="BB3" s="239"/>
      <c r="BC3" s="239"/>
      <c r="BD3" s="239"/>
      <c r="BE3" s="239"/>
      <c r="BF3" s="239"/>
      <c r="BG3" s="239"/>
      <c r="BH3" s="239"/>
      <c r="BI3" s="239"/>
      <c r="BJ3" s="239"/>
      <c r="BK3" s="239"/>
      <c r="BL3" s="239"/>
      <c r="BM3" s="239"/>
      <c r="BN3" s="239"/>
      <c r="BO3" s="239"/>
      <c r="BP3" s="239"/>
      <c r="BQ3" s="239"/>
      <c r="BR3" s="239"/>
      <c r="BS3" s="239"/>
    </row>
    <row r="4" spans="2:508" s="110" customFormat="1" ht="84" customHeight="1">
      <c r="B4" s="171" t="s">
        <v>221</v>
      </c>
      <c r="C4" s="171" t="s">
        <v>27</v>
      </c>
      <c r="D4" s="171" t="s">
        <v>222</v>
      </c>
      <c r="E4" s="172" t="s">
        <v>223</v>
      </c>
      <c r="F4" s="172" t="s">
        <v>224</v>
      </c>
      <c r="G4" s="240"/>
      <c r="H4" s="241"/>
      <c r="I4" s="241"/>
      <c r="J4" s="241"/>
      <c r="K4" s="242"/>
      <c r="L4" s="242"/>
      <c r="M4" s="242"/>
      <c r="N4" s="242"/>
      <c r="O4" s="242"/>
      <c r="P4" s="242"/>
      <c r="Q4" s="242"/>
      <c r="R4" s="242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</row>
    <row r="5" spans="2:508">
      <c r="B5" s="135"/>
      <c r="C5" s="135" t="s">
        <v>171</v>
      </c>
      <c r="D5" s="135" t="s">
        <v>7</v>
      </c>
      <c r="E5" s="268">
        <v>45413</v>
      </c>
      <c r="F5" s="147">
        <v>7</v>
      </c>
      <c r="G5" s="64" t="s">
        <v>1</v>
      </c>
      <c r="H5" s="64" t="s">
        <v>1</v>
      </c>
      <c r="I5" s="64" t="s">
        <v>201</v>
      </c>
      <c r="J5" s="64" t="s">
        <v>349</v>
      </c>
      <c r="K5" s="64" t="s">
        <v>349</v>
      </c>
      <c r="L5" s="64" t="s">
        <v>20</v>
      </c>
      <c r="M5" s="64" t="s">
        <v>20</v>
      </c>
      <c r="N5" s="64" t="s">
        <v>20</v>
      </c>
      <c r="O5" s="64" t="s">
        <v>20</v>
      </c>
      <c r="P5" s="64" t="s">
        <v>20</v>
      </c>
      <c r="Q5" s="64" t="s">
        <v>20</v>
      </c>
      <c r="R5" s="64" t="s">
        <v>20</v>
      </c>
      <c r="S5" s="64" t="s">
        <v>8</v>
      </c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/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/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  <c r="KT5" s="64"/>
      <c r="KU5" s="64"/>
      <c r="KV5" s="64"/>
      <c r="KW5" s="64"/>
      <c r="KX5" s="64"/>
      <c r="KY5" s="64"/>
      <c r="KZ5" s="64"/>
      <c r="LA5" s="64"/>
      <c r="LB5" s="64"/>
      <c r="LC5" s="64"/>
      <c r="LD5" s="64"/>
      <c r="LE5" s="64"/>
      <c r="LF5" s="64"/>
      <c r="LG5" s="64"/>
      <c r="LH5" s="64"/>
      <c r="LI5" s="64"/>
      <c r="LJ5" s="64"/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64"/>
      <c r="MJ5" s="64"/>
      <c r="MK5" s="64"/>
      <c r="ML5" s="64"/>
      <c r="MM5" s="64"/>
      <c r="MN5" s="64"/>
      <c r="MO5" s="64"/>
      <c r="MP5" s="64"/>
      <c r="MQ5" s="64"/>
      <c r="MR5" s="64"/>
      <c r="MS5" s="64"/>
      <c r="MT5" s="64"/>
      <c r="MU5" s="64"/>
      <c r="MV5" s="64"/>
      <c r="MW5" s="64"/>
      <c r="MX5" s="64"/>
      <c r="MY5" s="64"/>
      <c r="MZ5" s="64"/>
      <c r="NA5" s="64"/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64"/>
      <c r="OR5" s="64"/>
      <c r="OS5" s="64"/>
      <c r="OT5" s="64"/>
      <c r="OU5" s="64"/>
      <c r="OV5" s="64"/>
      <c r="OW5" s="64"/>
      <c r="OX5" s="64"/>
      <c r="OY5" s="64"/>
      <c r="OZ5" s="64"/>
      <c r="PA5" s="64"/>
      <c r="PB5" s="64"/>
      <c r="PC5" s="64"/>
      <c r="PD5" s="64"/>
      <c r="PE5" s="64"/>
      <c r="PF5" s="64"/>
      <c r="PG5" s="64"/>
      <c r="PH5" s="64"/>
      <c r="PI5" s="64"/>
      <c r="PJ5" s="64"/>
      <c r="PK5" s="64"/>
      <c r="PL5" s="64"/>
      <c r="PM5" s="64"/>
      <c r="PN5" s="64"/>
      <c r="PO5" s="64"/>
      <c r="PP5" s="64"/>
      <c r="PQ5" s="64"/>
      <c r="PR5" s="64"/>
      <c r="PS5" s="64"/>
      <c r="PT5" s="64"/>
      <c r="PU5" s="64"/>
      <c r="PV5" s="64"/>
      <c r="PW5" s="64"/>
      <c r="PX5" s="64"/>
      <c r="PY5" s="64"/>
      <c r="PZ5" s="64"/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64"/>
      <c r="QZ5" s="64"/>
      <c r="RA5" s="64"/>
      <c r="RB5" s="64"/>
      <c r="RC5" s="64"/>
      <c r="RD5" s="64"/>
      <c r="RE5" s="64"/>
      <c r="RF5" s="64"/>
      <c r="RG5" s="64"/>
      <c r="RH5" s="64"/>
      <c r="RI5" s="64"/>
      <c r="RJ5" s="64"/>
      <c r="RK5" s="64"/>
      <c r="RL5" s="64"/>
      <c r="RM5" s="64"/>
      <c r="RN5" s="64"/>
      <c r="RO5" s="64"/>
      <c r="RP5" s="64"/>
      <c r="RQ5" s="64"/>
      <c r="RR5" s="64"/>
      <c r="RS5" s="64"/>
      <c r="RT5" s="64"/>
      <c r="RU5" s="64"/>
      <c r="RV5" s="64"/>
      <c r="RW5" s="64"/>
      <c r="RX5" s="64"/>
      <c r="RY5" s="64"/>
      <c r="RZ5" s="64"/>
      <c r="SA5" s="64"/>
      <c r="SB5" s="64"/>
      <c r="SC5" s="64"/>
      <c r="SD5" s="64"/>
      <c r="SE5" s="64"/>
      <c r="SF5" s="64"/>
      <c r="SG5" s="64"/>
      <c r="SH5" s="64"/>
      <c r="SI5" s="64"/>
      <c r="SJ5" s="64"/>
      <c r="SK5" s="64"/>
      <c r="SL5" s="64"/>
      <c r="SM5" s="64"/>
      <c r="SN5" s="64"/>
    </row>
    <row r="6" spans="2:508">
      <c r="B6" s="269"/>
      <c r="C6" s="269"/>
      <c r="D6" s="269"/>
      <c r="E6" s="270"/>
      <c r="F6" s="271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64"/>
      <c r="FL6" s="64"/>
      <c r="FM6" s="64"/>
      <c r="FN6" s="64"/>
      <c r="FO6" s="64"/>
      <c r="FP6" s="64"/>
      <c r="FQ6" s="64"/>
      <c r="FR6" s="64"/>
      <c r="FS6" s="64"/>
      <c r="FT6" s="64"/>
      <c r="FU6" s="64"/>
      <c r="FV6" s="64"/>
      <c r="FW6" s="64"/>
      <c r="FX6" s="64"/>
      <c r="FY6" s="64"/>
      <c r="FZ6" s="64"/>
      <c r="GA6" s="64"/>
      <c r="GB6" s="64"/>
      <c r="GC6" s="64"/>
      <c r="GD6" s="64"/>
      <c r="GE6" s="64"/>
      <c r="GF6" s="64"/>
      <c r="GG6" s="64"/>
      <c r="GH6" s="64"/>
      <c r="GI6" s="64"/>
      <c r="GJ6" s="64"/>
      <c r="GK6" s="64"/>
      <c r="GL6" s="64"/>
      <c r="GM6" s="64"/>
      <c r="GN6" s="64"/>
      <c r="GO6" s="64"/>
      <c r="GP6" s="64"/>
      <c r="GQ6" s="64"/>
      <c r="GR6" s="64"/>
      <c r="GS6" s="64"/>
      <c r="GT6" s="64"/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64"/>
      <c r="HT6" s="64"/>
      <c r="HU6" s="64"/>
      <c r="HV6" s="64"/>
      <c r="HW6" s="64"/>
      <c r="HX6" s="64"/>
      <c r="HY6" s="64"/>
      <c r="HZ6" s="64"/>
      <c r="IA6" s="64"/>
      <c r="IB6" s="64"/>
      <c r="IC6" s="64"/>
      <c r="ID6" s="64"/>
      <c r="IE6" s="64"/>
      <c r="IF6" s="64"/>
      <c r="IG6" s="64"/>
      <c r="IH6" s="64"/>
      <c r="II6" s="64"/>
      <c r="IJ6" s="64"/>
      <c r="IK6" s="64"/>
      <c r="IL6" s="64"/>
      <c r="IM6" s="64"/>
      <c r="IN6" s="64"/>
      <c r="IO6" s="64"/>
      <c r="IP6" s="64"/>
      <c r="IQ6" s="64"/>
      <c r="IR6" s="64"/>
      <c r="IS6" s="64"/>
      <c r="IT6" s="64"/>
      <c r="IU6" s="64"/>
      <c r="IV6" s="64"/>
      <c r="IW6" s="64"/>
      <c r="IX6" s="64"/>
      <c r="IY6" s="64"/>
      <c r="IZ6" s="64"/>
      <c r="JA6" s="64"/>
      <c r="JB6" s="64"/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64"/>
      <c r="KB6" s="64"/>
      <c r="KC6" s="64"/>
      <c r="KD6" s="64"/>
      <c r="KE6" s="64"/>
      <c r="KF6" s="64"/>
      <c r="KG6" s="64"/>
      <c r="KH6" s="64"/>
      <c r="KI6" s="64"/>
      <c r="KJ6" s="64"/>
      <c r="KK6" s="64"/>
      <c r="KL6" s="64"/>
      <c r="KM6" s="64"/>
      <c r="KN6" s="64"/>
      <c r="KO6" s="64"/>
      <c r="KP6" s="64"/>
      <c r="KQ6" s="64"/>
      <c r="KR6" s="64"/>
      <c r="KS6" s="64"/>
      <c r="KT6" s="64"/>
      <c r="KU6" s="64"/>
      <c r="KV6" s="64"/>
      <c r="KW6" s="64"/>
      <c r="KX6" s="64"/>
      <c r="KY6" s="64"/>
      <c r="KZ6" s="64"/>
      <c r="LA6" s="64"/>
      <c r="LB6" s="64"/>
      <c r="LC6" s="64"/>
      <c r="LD6" s="64"/>
      <c r="LE6" s="64"/>
      <c r="LF6" s="64"/>
      <c r="LG6" s="64"/>
      <c r="LH6" s="64"/>
      <c r="LI6" s="64"/>
      <c r="LJ6" s="64"/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64"/>
      <c r="MJ6" s="64"/>
      <c r="MK6" s="64"/>
      <c r="ML6" s="64"/>
      <c r="MM6" s="64"/>
      <c r="MN6" s="64"/>
      <c r="MO6" s="64"/>
      <c r="MP6" s="64"/>
      <c r="MQ6" s="64"/>
      <c r="MR6" s="64"/>
      <c r="MS6" s="64"/>
      <c r="MT6" s="64"/>
      <c r="MU6" s="64"/>
      <c r="MV6" s="64"/>
      <c r="MW6" s="64"/>
      <c r="MX6" s="64"/>
      <c r="MY6" s="64"/>
      <c r="MZ6" s="64"/>
      <c r="NA6" s="64"/>
      <c r="NB6" s="64"/>
      <c r="NC6" s="64"/>
      <c r="ND6" s="64"/>
      <c r="NE6" s="64"/>
      <c r="NF6" s="64"/>
      <c r="NG6" s="64"/>
      <c r="NH6" s="64"/>
      <c r="NI6" s="64"/>
      <c r="NJ6" s="64"/>
      <c r="NK6" s="64"/>
      <c r="NL6" s="64"/>
      <c r="NM6" s="64"/>
      <c r="NN6" s="64"/>
      <c r="NO6" s="64"/>
      <c r="NP6" s="64"/>
      <c r="NQ6" s="64"/>
      <c r="NR6" s="64"/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64"/>
      <c r="OR6" s="64"/>
      <c r="OS6" s="64"/>
      <c r="OT6" s="64"/>
      <c r="OU6" s="64"/>
      <c r="OV6" s="64"/>
      <c r="OW6" s="64"/>
      <c r="OX6" s="64"/>
      <c r="OY6" s="64"/>
      <c r="OZ6" s="64"/>
      <c r="PA6" s="64"/>
      <c r="PB6" s="64"/>
      <c r="PC6" s="64"/>
      <c r="PD6" s="64"/>
      <c r="PE6" s="64"/>
      <c r="PF6" s="64"/>
      <c r="PG6" s="64"/>
      <c r="PH6" s="64"/>
      <c r="PI6" s="64"/>
      <c r="PJ6" s="64"/>
      <c r="PK6" s="64"/>
      <c r="PL6" s="64"/>
      <c r="PM6" s="64"/>
      <c r="PN6" s="64"/>
      <c r="PO6" s="64"/>
      <c r="PP6" s="64"/>
      <c r="PQ6" s="64"/>
      <c r="PR6" s="64"/>
      <c r="PS6" s="64"/>
      <c r="PT6" s="64"/>
      <c r="PU6" s="64"/>
      <c r="PV6" s="64"/>
      <c r="PW6" s="64"/>
      <c r="PX6" s="64"/>
      <c r="PY6" s="64"/>
      <c r="PZ6" s="64"/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64"/>
      <c r="QZ6" s="64"/>
      <c r="RA6" s="64"/>
      <c r="RB6" s="64"/>
      <c r="RC6" s="64"/>
      <c r="RD6" s="64"/>
      <c r="RE6" s="64"/>
      <c r="RF6" s="64"/>
      <c r="RG6" s="64"/>
      <c r="RH6" s="64"/>
      <c r="RI6" s="64"/>
      <c r="RJ6" s="64"/>
      <c r="RK6" s="64"/>
      <c r="RL6" s="64"/>
      <c r="RM6" s="64"/>
      <c r="RN6" s="64"/>
      <c r="RO6" s="64"/>
      <c r="RP6" s="64"/>
      <c r="RQ6" s="64"/>
      <c r="RR6" s="64"/>
      <c r="RS6" s="64"/>
      <c r="RT6" s="64"/>
      <c r="RU6" s="64"/>
      <c r="RV6" s="64"/>
      <c r="RW6" s="64"/>
      <c r="RX6" s="64"/>
      <c r="RY6" s="64"/>
      <c r="RZ6" s="64"/>
      <c r="SA6" s="64"/>
      <c r="SB6" s="64"/>
      <c r="SC6" s="64"/>
      <c r="SD6" s="64"/>
      <c r="SE6" s="64"/>
      <c r="SF6" s="64"/>
      <c r="SG6" s="64"/>
      <c r="SH6" s="64"/>
      <c r="SI6" s="64"/>
      <c r="SJ6" s="64"/>
      <c r="SK6" s="64"/>
      <c r="SL6" s="64"/>
      <c r="SM6" s="64"/>
      <c r="SN6" s="64"/>
    </row>
    <row r="7" spans="2:508">
      <c r="B7" s="269"/>
      <c r="C7" s="269"/>
      <c r="D7" s="269"/>
      <c r="E7" s="272"/>
      <c r="F7" s="273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64"/>
      <c r="FL7" s="64"/>
      <c r="FM7" s="64"/>
      <c r="FN7" s="64"/>
      <c r="FO7" s="64"/>
      <c r="FP7" s="64"/>
      <c r="FQ7" s="64"/>
      <c r="FR7" s="64"/>
      <c r="FS7" s="64"/>
      <c r="FT7" s="64"/>
      <c r="FU7" s="64"/>
      <c r="FV7" s="64"/>
      <c r="FW7" s="64"/>
      <c r="FX7" s="64"/>
      <c r="FY7" s="64"/>
      <c r="FZ7" s="64"/>
      <c r="GA7" s="64"/>
      <c r="GB7" s="64"/>
      <c r="GC7" s="64"/>
      <c r="GD7" s="64"/>
      <c r="GE7" s="64"/>
      <c r="GF7" s="64"/>
      <c r="GG7" s="64"/>
      <c r="GH7" s="64"/>
      <c r="GI7" s="64"/>
      <c r="GJ7" s="64"/>
      <c r="GK7" s="64"/>
      <c r="GL7" s="64"/>
      <c r="GM7" s="64"/>
      <c r="GN7" s="64"/>
      <c r="GO7" s="64"/>
      <c r="GP7" s="64"/>
      <c r="GQ7" s="64"/>
      <c r="GR7" s="64"/>
      <c r="GS7" s="64"/>
      <c r="GT7" s="64"/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64"/>
      <c r="HT7" s="64"/>
      <c r="HU7" s="64"/>
      <c r="HV7" s="64"/>
      <c r="HW7" s="64"/>
      <c r="HX7" s="64"/>
      <c r="HY7" s="64"/>
      <c r="HZ7" s="64"/>
      <c r="IA7" s="64"/>
      <c r="IB7" s="64"/>
      <c r="IC7" s="64"/>
      <c r="ID7" s="64"/>
      <c r="IE7" s="64"/>
      <c r="IF7" s="64"/>
      <c r="IG7" s="64"/>
      <c r="IH7" s="64"/>
      <c r="II7" s="64"/>
      <c r="IJ7" s="64"/>
      <c r="IK7" s="64"/>
      <c r="IL7" s="64"/>
      <c r="IM7" s="64"/>
      <c r="IN7" s="64"/>
      <c r="IO7" s="64"/>
      <c r="IP7" s="64"/>
      <c r="IQ7" s="64"/>
      <c r="IR7" s="64"/>
      <c r="IS7" s="64"/>
      <c r="IT7" s="64"/>
      <c r="IU7" s="64"/>
      <c r="IV7" s="64"/>
      <c r="IW7" s="64"/>
      <c r="IX7" s="64"/>
      <c r="IY7" s="64"/>
      <c r="IZ7" s="64"/>
      <c r="JA7" s="64"/>
      <c r="JB7" s="64"/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64"/>
      <c r="KB7" s="64"/>
      <c r="KC7" s="64"/>
      <c r="KD7" s="64"/>
      <c r="KE7" s="64"/>
      <c r="KF7" s="64"/>
      <c r="KG7" s="64"/>
      <c r="KH7" s="64"/>
      <c r="KI7" s="64"/>
      <c r="KJ7" s="64"/>
      <c r="KK7" s="64"/>
      <c r="KL7" s="64"/>
      <c r="KM7" s="64"/>
      <c r="KN7" s="64"/>
      <c r="KO7" s="64"/>
      <c r="KP7" s="64"/>
      <c r="KQ7" s="64"/>
      <c r="KR7" s="64"/>
      <c r="KS7" s="64"/>
      <c r="KT7" s="64"/>
      <c r="KU7" s="64"/>
      <c r="KV7" s="64"/>
      <c r="KW7" s="64"/>
      <c r="KX7" s="64"/>
      <c r="KY7" s="64"/>
      <c r="KZ7" s="64"/>
      <c r="LA7" s="64"/>
      <c r="LB7" s="64"/>
      <c r="LC7" s="64"/>
      <c r="LD7" s="64"/>
      <c r="LE7" s="64"/>
      <c r="LF7" s="64"/>
      <c r="LG7" s="64"/>
      <c r="LH7" s="64"/>
      <c r="LI7" s="64"/>
      <c r="LJ7" s="64"/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64"/>
      <c r="MJ7" s="64"/>
      <c r="MK7" s="64"/>
      <c r="ML7" s="64"/>
      <c r="MM7" s="64"/>
      <c r="MN7" s="64"/>
      <c r="MO7" s="64"/>
      <c r="MP7" s="64"/>
      <c r="MQ7" s="64"/>
      <c r="MR7" s="64"/>
      <c r="MS7" s="64"/>
      <c r="MT7" s="64"/>
      <c r="MU7" s="64"/>
      <c r="MV7" s="64"/>
      <c r="MW7" s="64"/>
      <c r="MX7" s="64"/>
      <c r="MY7" s="64"/>
      <c r="MZ7" s="64"/>
      <c r="NA7" s="64"/>
      <c r="NB7" s="64"/>
      <c r="NC7" s="64"/>
      <c r="ND7" s="64"/>
      <c r="NE7" s="64"/>
      <c r="NF7" s="64"/>
      <c r="NG7" s="64"/>
      <c r="NH7" s="64"/>
      <c r="NI7" s="64"/>
      <c r="NJ7" s="64"/>
      <c r="NK7" s="64"/>
      <c r="NL7" s="64"/>
      <c r="NM7" s="64"/>
      <c r="NN7" s="64"/>
      <c r="NO7" s="64"/>
      <c r="NP7" s="64"/>
      <c r="NQ7" s="64"/>
      <c r="NR7" s="64"/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64"/>
      <c r="OR7" s="64"/>
      <c r="OS7" s="64"/>
      <c r="OT7" s="64"/>
      <c r="OU7" s="64"/>
      <c r="OV7" s="64"/>
      <c r="OW7" s="64"/>
      <c r="OX7" s="64"/>
      <c r="OY7" s="64"/>
      <c r="OZ7" s="64"/>
      <c r="PA7" s="64"/>
      <c r="PB7" s="64"/>
      <c r="PC7" s="64"/>
      <c r="PD7" s="64"/>
      <c r="PE7" s="64"/>
      <c r="PF7" s="64"/>
      <c r="PG7" s="64"/>
      <c r="PH7" s="64"/>
      <c r="PI7" s="64"/>
      <c r="PJ7" s="64"/>
      <c r="PK7" s="64"/>
      <c r="PL7" s="64"/>
      <c r="PM7" s="64"/>
      <c r="PN7" s="64"/>
      <c r="PO7" s="64"/>
      <c r="PP7" s="64"/>
      <c r="PQ7" s="64"/>
      <c r="PR7" s="64"/>
      <c r="PS7" s="64"/>
      <c r="PT7" s="64"/>
      <c r="PU7" s="64"/>
      <c r="PV7" s="64"/>
      <c r="PW7" s="64"/>
      <c r="PX7" s="64"/>
      <c r="PY7" s="64"/>
      <c r="PZ7" s="64"/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64"/>
      <c r="QZ7" s="64"/>
      <c r="RA7" s="64"/>
      <c r="RB7" s="64"/>
      <c r="RC7" s="64"/>
      <c r="RD7" s="64"/>
      <c r="RE7" s="64"/>
      <c r="RF7" s="64"/>
      <c r="RG7" s="64"/>
      <c r="RH7" s="64"/>
      <c r="RI7" s="64"/>
      <c r="RJ7" s="64"/>
      <c r="RK7" s="64"/>
      <c r="RL7" s="64"/>
      <c r="RM7" s="64"/>
      <c r="RN7" s="64"/>
      <c r="RO7" s="64"/>
      <c r="RP7" s="64"/>
      <c r="RQ7" s="64"/>
      <c r="RR7" s="64"/>
      <c r="RS7" s="64"/>
      <c r="RT7" s="64"/>
      <c r="RU7" s="64"/>
      <c r="RV7" s="64"/>
      <c r="RW7" s="64"/>
      <c r="RX7" s="64"/>
      <c r="RY7" s="64"/>
      <c r="RZ7" s="64"/>
      <c r="SA7" s="64"/>
      <c r="SB7" s="64"/>
      <c r="SC7" s="64"/>
      <c r="SD7" s="64"/>
      <c r="SE7" s="64"/>
      <c r="SF7" s="64"/>
      <c r="SG7" s="64"/>
      <c r="SH7" s="64"/>
      <c r="SI7" s="64"/>
      <c r="SJ7" s="64"/>
      <c r="SK7" s="64"/>
      <c r="SL7" s="64"/>
      <c r="SM7" s="64"/>
      <c r="SN7" s="64"/>
    </row>
    <row r="9" spans="2:508" ht="15" customHeight="1">
      <c r="B9" s="124" t="s">
        <v>350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</row>
    <row r="10" spans="2:508"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</row>
    <row r="11" spans="2:508" ht="69.95" customHeight="1">
      <c r="B11" s="124" t="s">
        <v>221</v>
      </c>
      <c r="C11" s="124" t="s">
        <v>27</v>
      </c>
      <c r="D11" s="213" t="s">
        <v>225</v>
      </c>
      <c r="E11" s="213" t="s">
        <v>226</v>
      </c>
      <c r="F11" s="213" t="s">
        <v>227</v>
      </c>
      <c r="G11" s="214" t="s">
        <v>228</v>
      </c>
      <c r="H11" s="214" t="s">
        <v>229</v>
      </c>
      <c r="I11" s="214" t="s">
        <v>155</v>
      </c>
      <c r="J11" s="214" t="s">
        <v>230</v>
      </c>
      <c r="K11" s="214" t="s">
        <v>231</v>
      </c>
      <c r="L11" s="214" t="s">
        <v>232</v>
      </c>
      <c r="M11" s="214" t="s">
        <v>233</v>
      </c>
      <c r="N11" s="214" t="s">
        <v>234</v>
      </c>
      <c r="O11" s="214" t="s">
        <v>235</v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</row>
    <row r="12" spans="2:508">
      <c r="B12" s="135"/>
      <c r="C12" s="135" t="s">
        <v>171</v>
      </c>
      <c r="D12" s="141">
        <v>7</v>
      </c>
      <c r="E12" s="141">
        <v>0</v>
      </c>
      <c r="F12" s="141">
        <v>2</v>
      </c>
      <c r="G12" s="126">
        <f>D12*'Datos de entrada MOD'!$T$21+E12*'Datos de entrada MOD'!$T$18+F12*'Datos de entrada MOD'!$T$17</f>
        <v>86</v>
      </c>
      <c r="H12" s="141">
        <v>0</v>
      </c>
      <c r="I12" s="141">
        <v>0</v>
      </c>
      <c r="J12" s="141">
        <v>0</v>
      </c>
      <c r="K12" s="141">
        <v>0</v>
      </c>
      <c r="L12" s="141"/>
      <c r="M12" s="141"/>
      <c r="N12" s="126">
        <f>H12*'Datos de entrada MOD'!$T$22+I12*'Datos de entrada MOD'!$T$19+J12*'Datos de entrada MOD'!$T$20+K12*'Datos de entrada MOD'!$T$23</f>
        <v>0</v>
      </c>
      <c r="O12" s="126">
        <v>13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</row>
    <row r="13" spans="2:508">
      <c r="B13" s="269"/>
      <c r="C13" s="269"/>
      <c r="D13" s="141">
        <v>0</v>
      </c>
      <c r="E13" s="141">
        <v>0</v>
      </c>
      <c r="F13" s="141">
        <v>0</v>
      </c>
      <c r="G13" s="126">
        <f>D13*'Datos de entrada MOD'!$T$21+E13*'Datos de entrada MOD'!$T$18+F13*'Datos de entrada MOD'!$T$17</f>
        <v>0</v>
      </c>
      <c r="H13" s="141">
        <v>0</v>
      </c>
      <c r="I13" s="141">
        <v>0</v>
      </c>
      <c r="J13" s="141">
        <v>0</v>
      </c>
      <c r="K13" s="141">
        <v>0</v>
      </c>
      <c r="L13" s="141"/>
      <c r="M13" s="141"/>
      <c r="N13" s="126">
        <f>H13*'Datos de entrada MOD'!$T$22+I13*'Datos de entrada MOD'!$T$19+J13*'Datos de entrada MOD'!$T$20+K13*'Datos de entrada MOD'!$T$23</f>
        <v>0</v>
      </c>
      <c r="O13" s="126">
        <v>0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</row>
    <row r="14" spans="2:508">
      <c r="B14" s="269"/>
      <c r="C14" s="269"/>
      <c r="D14" s="141">
        <v>0</v>
      </c>
      <c r="E14" s="141">
        <v>0</v>
      </c>
      <c r="F14" s="141">
        <v>0</v>
      </c>
      <c r="G14" s="126">
        <f>D14*'Datos de entrada MOD'!$T$21+E14*'Datos de entrada MOD'!$T$18+F14*'Datos de entrada MOD'!$T$17</f>
        <v>0</v>
      </c>
      <c r="H14" s="141">
        <v>0</v>
      </c>
      <c r="I14" s="141">
        <v>0</v>
      </c>
      <c r="J14" s="141">
        <v>0</v>
      </c>
      <c r="K14" s="141">
        <v>0</v>
      </c>
      <c r="L14" s="141"/>
      <c r="M14" s="141"/>
      <c r="N14" s="126">
        <f>H14*'Datos de entrada MOD'!$T$22+I14*'Datos de entrada MOD'!$T$19+J14*'Datos de entrada MOD'!$T$20+K14*'Datos de entrada MOD'!$T$23</f>
        <v>0</v>
      </c>
      <c r="O14" s="126">
        <v>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</row>
    <row r="15" spans="2:508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</row>
    <row r="16" spans="2:508">
      <c r="B16" s="125" t="s">
        <v>236</v>
      </c>
      <c r="C16" s="124"/>
      <c r="D16" s="141">
        <f>SUM(G12:G14,N12:N14)</f>
        <v>86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</row>
    <row r="17" spans="2:420">
      <c r="B17" s="125" t="s">
        <v>237</v>
      </c>
      <c r="C17" s="124"/>
      <c r="D17" s="141">
        <v>9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</row>
    <row r="18" spans="2:420">
      <c r="B18" s="125" t="s">
        <v>238</v>
      </c>
      <c r="C18" s="124"/>
      <c r="D18" s="141">
        <f>SUM(O12:O14)</f>
        <v>13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</row>
    <row r="19" spans="2:420">
      <c r="B19" s="125" t="s">
        <v>239</v>
      </c>
      <c r="C19" s="124"/>
      <c r="D19" s="141">
        <f>D18</f>
        <v>13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</row>
    <row r="20" spans="2:420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</row>
    <row r="21" spans="2:420" ht="15" customHeight="1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</row>
    <row r="22" spans="2:420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</row>
    <row r="23" spans="2:420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</row>
    <row r="24" spans="2:420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</row>
    <row r="25" spans="2:420" ht="69.95" customHeight="1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</row>
    <row r="26" spans="2:420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</row>
    <row r="27" spans="2:420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</row>
    <row r="28" spans="2:420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</row>
    <row r="29" spans="2:420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</row>
    <row r="30" spans="2:420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</row>
    <row r="31" spans="2:420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</row>
    <row r="32" spans="2:420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</row>
    <row r="33" customFormat="1"/>
    <row r="34" customFormat="1"/>
    <row r="35" customFormat="1"/>
    <row r="36" customFormat="1"/>
    <row r="37" customFormat="1"/>
    <row r="38" customFormat="1"/>
    <row r="39" customFormat="1" ht="69.95" customHeigh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 ht="69.95" customHeigh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 ht="69.95" customHeigh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 ht="69.95" customHeigh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 ht="69.95" customHeigh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</sheetData>
  <conditionalFormatting sqref="G5:SN7">
    <cfRule type="cellIs" dxfId="9" priority="5" operator="equal">
      <formula>"S"</formula>
    </cfRule>
    <cfRule type="cellIs" dxfId="8" priority="6" operator="equal">
      <formula>"IC"</formula>
    </cfRule>
    <cfRule type="cellIs" dxfId="7" priority="7" operator="equal">
      <formula>"DS"</formula>
    </cfRule>
    <cfRule type="cellIs" dxfId="6" priority="8" operator="equal">
      <formula>"V"</formula>
    </cfRule>
    <cfRule type="cellIs" dxfId="5" priority="9" operator="equal">
      <formula>""""""</formula>
    </cfRule>
    <cfRule type="cellIs" dxfId="4" priority="10" operator="equal">
      <formula>"H"</formula>
    </cfRule>
    <cfRule type="cellIs" dxfId="3" priority="11" operator="equal">
      <formula>"I"</formula>
    </cfRule>
    <cfRule type="cellIs" dxfId="2" priority="12" operator="equal">
      <formula>"D"</formula>
    </cfRule>
    <cfRule type="cellIs" dxfId="1" priority="13" operator="equal">
      <formula>"EM"</formula>
    </cfRule>
    <cfRule type="cellIs" dxfId="0" priority="14" operator="equal">
      <formula>"X"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21" r:id="rId4" name="Button 1">
              <controlPr defaultSize="0" print="0" autoFill="0" autoPict="0" macro="[0]!GenerateSchedule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733425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2" r:id="rId5" name="Button 2">
              <controlPr defaultSize="0" print="0" autoFill="0" autoPict="0" macro="[0]!copySchedule">
                <anchor moveWithCells="1" sizeWithCells="1">
                  <from>
                    <xdr:col>0</xdr:col>
                    <xdr:colOff>19050</xdr:colOff>
                    <xdr:row>3</xdr:row>
                    <xdr:rowOff>209550</xdr:rowOff>
                  </from>
                  <to>
                    <xdr:col>0</xdr:col>
                    <xdr:colOff>723900</xdr:colOff>
                    <xdr:row>3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3" r:id="rId6" name="Button 3">
              <controlPr defaultSize="0" print="0" autoFill="0" autoPict="0" macro="[0]!DelCurrentSheet">
                <anchor moveWithCells="1" sizeWithCells="1">
                  <from>
                    <xdr:col>0</xdr:col>
                    <xdr:colOff>9525</xdr:colOff>
                    <xdr:row>4</xdr:row>
                    <xdr:rowOff>38100</xdr:rowOff>
                  </from>
                  <to>
                    <xdr:col>0</xdr:col>
                    <xdr:colOff>723900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912A4D-ED36-4200-B4E0-74A65DB7FB0B}">
          <x14:formula1>
            <xm:f>'Datos de entrada MOD'!$E$25:$E$26</xm:f>
          </x14:formula1>
          <xm:sqref>D22:D24 D40:D42 D82:D84 D68:D70 D54:D56 D26:D28 D36 D5:D7 D96:D98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Grecia Prada</dc:creator>
  <cp:keywords/>
  <dc:description/>
  <cp:lastModifiedBy>Piero Jauregui</cp:lastModifiedBy>
  <cp:revision/>
  <dcterms:created xsi:type="dcterms:W3CDTF">2022-09-22T13:58:03Z</dcterms:created>
  <dcterms:modified xsi:type="dcterms:W3CDTF">2025-07-01T20:03:36Z</dcterms:modified>
  <cp:category/>
  <cp:contentStatus/>
</cp:coreProperties>
</file>